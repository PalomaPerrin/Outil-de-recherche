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age1\OneDrive - Altia\Bureau\Dossier code\"/>
    </mc:Choice>
  </mc:AlternateContent>
  <xr:revisionPtr revIDLastSave="0" documentId="13_ncr:1_{F8DEF0A5-D832-4D1A-824C-52DC1D5236A0}" xr6:coauthVersionLast="47" xr6:coauthVersionMax="47" xr10:uidLastSave="{00000000-0000-0000-0000-000000000000}"/>
  <bookViews>
    <workbookView xWindow="-110" yWindow="-110" windowWidth="19420" windowHeight="10420" activeTab="1" xr2:uid="{FDA68384-36E6-431E-B830-02EC22E0EC74}"/>
  </bookViews>
  <sheets>
    <sheet name="Toitures" sheetId="1" r:id="rId1"/>
    <sheet name="Listes_cascade" sheetId="2" r:id="rId2"/>
    <sheet name="Construction" sheetId="3" r:id="rId3"/>
  </sheets>
  <definedNames>
    <definedName name="_xlnm._FilterDatabase" localSheetId="1" hidden="1">Listes_cascade!$B$8:$T$12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7" i="1" l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P5" i="2" l="1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AQ5" i="2" s="1"/>
  <c r="AT5" i="2" l="1"/>
  <c r="AU5" i="2"/>
  <c r="AV5" i="2"/>
  <c r="AR5" i="2"/>
  <c r="AS5" i="2"/>
</calcChain>
</file>

<file path=xl/sharedStrings.xml><?xml version="1.0" encoding="utf-8"?>
<sst xmlns="http://schemas.openxmlformats.org/spreadsheetml/2006/main" count="1469" uniqueCount="167">
  <si>
    <t>Catalogue</t>
  </si>
  <si>
    <t>R_A</t>
  </si>
  <si>
    <t>Type</t>
  </si>
  <si>
    <t>RQA</t>
  </si>
  <si>
    <t>1BA13</t>
  </si>
  <si>
    <t>Laine minérale (50mm)</t>
  </si>
  <si>
    <t>Lattage bois (60/60) sur étrier (70mm)</t>
  </si>
  <si>
    <t>ID</t>
  </si>
  <si>
    <t>Zone de critères</t>
  </si>
  <si>
    <t>Source Types</t>
  </si>
  <si>
    <t>Source RA</t>
  </si>
  <si>
    <t>Sélectionner un indice d'isolement acoustique</t>
  </si>
  <si>
    <t>ACOUBOIS_2_int</t>
  </si>
  <si>
    <t>PRO</t>
  </si>
  <si>
    <t>Liteaux</t>
  </si>
  <si>
    <t>Pare pluie</t>
  </si>
  <si>
    <t>Contreventement</t>
  </si>
  <si>
    <t>OUI</t>
  </si>
  <si>
    <t>Lattage bois (60/60) (60mm)</t>
  </si>
  <si>
    <t>Catalogue_photo</t>
  </si>
  <si>
    <t>RA/Rw pour MBM</t>
  </si>
  <si>
    <t>Recherche Façades Bois</t>
  </si>
  <si>
    <t>Toitures</t>
  </si>
  <si>
    <t>Types</t>
  </si>
  <si>
    <t>Couverture</t>
  </si>
  <si>
    <t>Contre-liteaux</t>
  </si>
  <si>
    <t>Isolation par l'ext.</t>
  </si>
  <si>
    <t>Ossature secondaire supérieure</t>
  </si>
  <si>
    <t>Ossature principale</t>
  </si>
  <si>
    <t>Isolant principal</t>
  </si>
  <si>
    <t>Pare vapeur</t>
  </si>
  <si>
    <t>Contre-lattes</t>
  </si>
  <si>
    <t>Isolation par l'intérieur</t>
  </si>
  <si>
    <t xml:space="preserve">Plafond </t>
  </si>
  <si>
    <t>Combles_perdus</t>
  </si>
  <si>
    <t>Tuiles</t>
  </si>
  <si>
    <t>300mm laine minérale ou isolant biosourcé dans combles</t>
  </si>
  <si>
    <t>NON</t>
  </si>
  <si>
    <t xml:space="preserve">  1 BA13</t>
  </si>
  <si>
    <t xml:space="preserve">  2 BA13</t>
  </si>
  <si>
    <t>Combles_aménagés</t>
  </si>
  <si>
    <t>200mm laine minérale ou isolant biosourcé entre ossatures</t>
  </si>
  <si>
    <t>Combles_aménagés_caissons_préfabriqués</t>
  </si>
  <si>
    <t>Sarking</t>
  </si>
  <si>
    <t>Etanchéité bitumeuse</t>
  </si>
  <si>
    <t>130mm laine minérale ou isolant bio-sourcé</t>
  </si>
  <si>
    <t>ACOUBOIS</t>
  </si>
  <si>
    <t>Tuiles PLEIN CIEL</t>
  </si>
  <si>
    <t>27x38mm</t>
  </si>
  <si>
    <t>60x38mm</t>
  </si>
  <si>
    <t>1BA13Std</t>
  </si>
  <si>
    <t>2BA13Std</t>
  </si>
  <si>
    <t>1BA18Std</t>
  </si>
  <si>
    <t>75x38mm</t>
  </si>
  <si>
    <t>STEICO_UNIVERSAL_35mm</t>
  </si>
  <si>
    <t>CTBH19mm</t>
  </si>
  <si>
    <t>Toitures_terrasses</t>
  </si>
  <si>
    <t>SOPRAFIX</t>
  </si>
  <si>
    <t>MBM DA01a</t>
  </si>
  <si>
    <t xml:space="preserve">Tuiles terre cuite </t>
  </si>
  <si>
    <t>Lattage bois (30/50) (30mm)</t>
  </si>
  <si>
    <t xml:space="preserve">Contrelattage bois (min 50mm) </t>
  </si>
  <si>
    <t>Panneau fibre de bois (22mm)</t>
  </si>
  <si>
    <t>Isolant fibre de bois (200mm)</t>
  </si>
  <si>
    <t>Panneaux en bois  BBS (5 plis) (100mm)</t>
  </si>
  <si>
    <t>MBM DA01b</t>
  </si>
  <si>
    <t>Isolant fibre de bois (240mm)</t>
  </si>
  <si>
    <t>MBM DA01c</t>
  </si>
  <si>
    <t>Plaque PLACO antifeu RF (15mm)</t>
  </si>
  <si>
    <t>Plaque de plâtre armé fibres rigidur H (15mm)</t>
  </si>
  <si>
    <t>MBM DA01d</t>
  </si>
  <si>
    <t>Lattage bois (30/50)(30mm)</t>
  </si>
  <si>
    <t>MBM DA01e</t>
  </si>
  <si>
    <t>MBM DA01f</t>
  </si>
  <si>
    <t>Plaque PLACO antifeu RF (2x15mm)</t>
  </si>
  <si>
    <t>Plaque de plâtre armé fibres rigidur H (2x15mm)</t>
  </si>
  <si>
    <t>MBM DA01g</t>
  </si>
  <si>
    <t>MBM DA01h</t>
  </si>
  <si>
    <t>MBM DA01i</t>
  </si>
  <si>
    <t>MBM DA01j</t>
  </si>
  <si>
    <t>MBM DA02a</t>
  </si>
  <si>
    <t>Ecran de sous-toiture (collé sd&lt;0,12)</t>
  </si>
  <si>
    <t>Plaque d'isolation sur chevrons Isover Integra AP (180mm)</t>
  </si>
  <si>
    <t>MBM DA02b</t>
  </si>
  <si>
    <t>Plaque d'isolation sur chevrons Isover Integra AP (200mm)</t>
  </si>
  <si>
    <t>MBM DA02c</t>
  </si>
  <si>
    <t>Lattage bois (60/60) (70mm)</t>
  </si>
  <si>
    <t>MBM DA02d</t>
  </si>
  <si>
    <t>MBM DA02e</t>
  </si>
  <si>
    <t>MBM DA02f</t>
  </si>
  <si>
    <t>MBM DA02g</t>
  </si>
  <si>
    <t>MBM DA02h</t>
  </si>
  <si>
    <t>MBM DA02i</t>
  </si>
  <si>
    <t>MBM DA02j</t>
  </si>
  <si>
    <t>MBM DA03a</t>
  </si>
  <si>
    <t>Bac acier</t>
  </si>
  <si>
    <t xml:space="preserve">Contrelattage bois (80mm) </t>
  </si>
  <si>
    <t>Panneau fibre de bois pare-pluie (22mm)</t>
  </si>
  <si>
    <t>MBM DA03b</t>
  </si>
  <si>
    <t>MBM DA03c</t>
  </si>
  <si>
    <t>MBM DA03d</t>
  </si>
  <si>
    <t>MBM DA03e</t>
  </si>
  <si>
    <t>MBM DA03f</t>
  </si>
  <si>
    <t>MBM DA03g</t>
  </si>
  <si>
    <t>MBM DA03h</t>
  </si>
  <si>
    <t>MBM DA03i</t>
  </si>
  <si>
    <t>MBM DA03j</t>
  </si>
  <si>
    <t>MBM DA04a</t>
  </si>
  <si>
    <t>MBM DA04b</t>
  </si>
  <si>
    <t>MBM DA04c</t>
  </si>
  <si>
    <t>MBM DA04d</t>
  </si>
  <si>
    <t>MBM DA04e</t>
  </si>
  <si>
    <t>MBM DA04f</t>
  </si>
  <si>
    <t>MBM DA04g</t>
  </si>
  <si>
    <t>MBM DA04h</t>
  </si>
  <si>
    <t>MBM DA04i</t>
  </si>
  <si>
    <t>MBM DA04j</t>
  </si>
  <si>
    <t>MBM DA05a</t>
  </si>
  <si>
    <t>Etanchéité plastique armée (2,5mm)</t>
  </si>
  <si>
    <t>Polystyrène expansé (100mm)</t>
  </si>
  <si>
    <t>Polystyrène expansé (Isolant à pente intégrée) (120mm)</t>
  </si>
  <si>
    <t>MBM DA05b</t>
  </si>
  <si>
    <t>MBM DA05c</t>
  </si>
  <si>
    <t>MBM DA05d</t>
  </si>
  <si>
    <t>MBM DA05e</t>
  </si>
  <si>
    <t>MBM DA06a</t>
  </si>
  <si>
    <t>Gravier (50mm) + Etanchéité plastique armée (2,5mm)</t>
  </si>
  <si>
    <t>MBM DA06b</t>
  </si>
  <si>
    <t>Lattage bois (60/60) sur étrier (60mm)</t>
  </si>
  <si>
    <t>MBM DA06c</t>
  </si>
  <si>
    <t>MBM DA06d</t>
  </si>
  <si>
    <t>MBM DA06e</t>
  </si>
  <si>
    <t>RQA_combles_p</t>
  </si>
  <si>
    <t>RQA_combles_a</t>
  </si>
  <si>
    <t>RQA_combles_a_caissons</t>
  </si>
  <si>
    <t>RQA_terrasse</t>
  </si>
  <si>
    <t>RQA_sarking</t>
  </si>
  <si>
    <t>Sélectionner un type de toitures bois</t>
  </si>
  <si>
    <t>Panneaux_bois_massif_placage_int_toiture</t>
  </si>
  <si>
    <t>ACOUBOIS_11</t>
  </si>
  <si>
    <t>ACOUBOIS_10</t>
  </si>
  <si>
    <t>Chevrons 145x45mm</t>
  </si>
  <si>
    <t>Laine de verre 100mm (ISOCONFORT35_100mm)</t>
  </si>
  <si>
    <t>Laine de verre 200mm (ISOCONFORT35_200mm)</t>
  </si>
  <si>
    <t>Solive 220x45mm</t>
  </si>
  <si>
    <t>ACOUBOIS_1</t>
  </si>
  <si>
    <t>ACOUBOIS_2</t>
  </si>
  <si>
    <t>Solive 220x45mm_doublée</t>
  </si>
  <si>
    <t>Laine de roche 200mm (ROULROCK_200mm)</t>
  </si>
  <si>
    <t>Laine de roche 100mm (ROULROCK_100mm)</t>
  </si>
  <si>
    <t>ACOUBOIS_4</t>
  </si>
  <si>
    <t>ACOUBOIS_3</t>
  </si>
  <si>
    <t>Laine de bois 2x100mm (STEICO_FLEX_F_2x100mm)</t>
  </si>
  <si>
    <t>Laine de bois 100mm (STEICO_FLEX_F_100mm)</t>
  </si>
  <si>
    <t>ACOUBOIS_12</t>
  </si>
  <si>
    <t>OSB12mm</t>
  </si>
  <si>
    <t>ACOUBOIS_13</t>
  </si>
  <si>
    <t>ACOUBOIS_5</t>
  </si>
  <si>
    <t>Panneaux en fibre de bois 100mm (STEICO_SPECIAL_100mm)</t>
  </si>
  <si>
    <t>Isolant laine de bois 2x100mm (STEICO_FLEX_F_2x100mm)</t>
  </si>
  <si>
    <t>ACOUBOIS_6</t>
  </si>
  <si>
    <t>ACOUBOIS_7</t>
  </si>
  <si>
    <t>Panneau en laine de roche 205mm (ROCKCIEL_105mm)</t>
  </si>
  <si>
    <t>Panneau en laine de roche 130mm (ROCKACIER_B_NU_130mm)</t>
  </si>
  <si>
    <t>Laine de roche 55mm (ROCKFACADE_55mm)</t>
  </si>
  <si>
    <t>ACOUBOIS_8</t>
  </si>
  <si>
    <t>ACOUBOIS_9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</si>
</sst>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7030A0"/>
      <name val="ITC Avant Garde Std Bk"/>
      <family val="2"/>
    </font>
    <font>
      <sz val="11"/>
      <color theme="1"/>
      <name val="ITC Avant Garde Std Bk"/>
      <family val="2"/>
    </font>
    <font>
      <sz val="11"/>
      <color theme="0"/>
      <name val="ITC Avant Garde Std Bk"/>
      <family val="2"/>
    </font>
    <font>
      <b/>
      <sz val="16"/>
      <color theme="0"/>
      <name val="ITC Avant Garde Std Bk"/>
      <family val="2"/>
    </font>
    <font>
      <b/>
      <sz val="16"/>
      <color theme="0"/>
      <name val="Calibri"/>
      <family val="2"/>
      <scheme val="minor"/>
    </font>
    <font>
      <sz val="24"/>
      <color theme="0"/>
      <name val="ITC Avant Garde Std Bk"/>
      <family val="2"/>
    </font>
    <font>
      <sz val="11"/>
      <name val="ITC Avant Garde Std Bk"/>
      <family val="2"/>
    </font>
    <font>
      <sz val="28"/>
      <color theme="0"/>
      <name val="ITC Avant Garde Std Bk"/>
      <family val="2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DA6F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9FE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medium">
        <color rgb="FF7030A0"/>
      </bottom>
      <diagonal/>
    </border>
    <border>
      <left style="thin">
        <color rgb="FF009FE3"/>
      </left>
      <right style="thin">
        <color rgb="FF009FE3"/>
      </right>
      <top style="thin">
        <color rgb="FF009FE3"/>
      </top>
      <bottom style="thin">
        <color rgb="FF009FE3"/>
      </bottom>
      <diagonal/>
    </border>
    <border>
      <left/>
      <right/>
      <top style="thin">
        <color rgb="FF009FE3"/>
      </top>
      <bottom style="thin">
        <color rgb="FF009FE3"/>
      </bottom>
      <diagonal/>
    </border>
    <border>
      <left/>
      <right style="thin">
        <color rgb="FF009FE3"/>
      </right>
      <top style="thin">
        <color rgb="FF009FE3"/>
      </top>
      <bottom style="thin">
        <color rgb="FF009FE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9FE3"/>
      </right>
      <top/>
      <bottom/>
      <diagonal/>
    </border>
    <border>
      <left style="thin">
        <color rgb="FF009FE3"/>
      </left>
      <right style="thin">
        <color rgb="FF009FE3"/>
      </right>
      <top style="thin">
        <color rgb="FF009FE3"/>
      </top>
      <bottom/>
      <diagonal/>
    </border>
    <border>
      <left style="thin">
        <color rgb="FF009FE3"/>
      </left>
      <right/>
      <top style="thin">
        <color rgb="FF009FE3"/>
      </top>
      <bottom/>
      <diagonal/>
    </border>
    <border>
      <left style="thin">
        <color rgb="FF009FE3"/>
      </left>
      <right style="thin">
        <color rgb="FF009FE3"/>
      </right>
      <top/>
      <bottom/>
      <diagonal/>
    </border>
    <border>
      <left/>
      <right/>
      <top/>
      <bottom style="thin">
        <color rgb="FF009FE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3" borderId="0" xfId="0" applyFill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3" borderId="0" xfId="0" applyFill="1"/>
    <xf numFmtId="0" fontId="5" fillId="3" borderId="0" xfId="0" applyFont="1" applyFill="1"/>
    <xf numFmtId="0" fontId="5" fillId="3" borderId="9" xfId="0" applyFont="1" applyFill="1" applyBorder="1"/>
    <xf numFmtId="0" fontId="10" fillId="7" borderId="0" xfId="0" applyFont="1" applyFill="1" applyAlignment="1">
      <alignment horizontal="center"/>
    </xf>
    <xf numFmtId="0" fontId="10" fillId="7" borderId="0" xfId="0" applyFont="1" applyFill="1"/>
    <xf numFmtId="0" fontId="0" fillId="3" borderId="4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3" xfId="0" applyFill="1" applyBorder="1"/>
    <xf numFmtId="0" fontId="0" fillId="3" borderId="12" xfId="0" applyFill="1" applyBorder="1"/>
    <xf numFmtId="0" fontId="6" fillId="8" borderId="10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10" fillId="7" borderId="0" xfId="0" applyFont="1" applyFill="1" applyBorder="1" applyAlignment="1">
      <alignment horizontal="center" vertical="center"/>
    </xf>
    <xf numFmtId="0" fontId="0" fillId="2" borderId="0" xfId="0" applyFill="1"/>
    <xf numFmtId="0" fontId="0" fillId="5" borderId="0" xfId="0" applyFill="1"/>
    <xf numFmtId="0" fontId="0" fillId="4" borderId="0" xfId="0" applyFill="1"/>
    <xf numFmtId="0" fontId="5" fillId="0" borderId="0" xfId="0" applyFont="1" applyAlignment="1">
      <alignment horizontal="center" vertical="center"/>
    </xf>
    <xf numFmtId="0" fontId="0" fillId="10" borderId="14" xfId="0" applyFill="1" applyBorder="1"/>
    <xf numFmtId="0" fontId="0" fillId="11" borderId="1" xfId="0" applyFill="1" applyBorder="1"/>
    <xf numFmtId="0" fontId="0" fillId="11" borderId="1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12" borderId="0" xfId="0" applyFill="1"/>
    <xf numFmtId="0" fontId="0" fillId="12" borderId="0" xfId="0" applyFill="1" applyAlignment="1">
      <alignment horizontal="center"/>
    </xf>
    <xf numFmtId="0" fontId="0" fillId="13" borderId="0" xfId="0" applyFill="1"/>
    <xf numFmtId="0" fontId="0" fillId="13" borderId="0" xfId="0" applyFill="1" applyAlignment="1">
      <alignment horizontal="center"/>
    </xf>
    <xf numFmtId="0" fontId="0" fillId="12" borderId="0" xfId="0" applyFill="1" applyAlignment="1">
      <alignment horizontal="left"/>
    </xf>
    <xf numFmtId="0" fontId="0" fillId="13" borderId="0" xfId="0" applyFill="1" applyAlignment="1">
      <alignment horizontal="left"/>
    </xf>
    <xf numFmtId="0" fontId="0" fillId="13" borderId="0" xfId="0" applyFill="1" applyAlignment="1">
      <alignment horizontal="right"/>
    </xf>
    <xf numFmtId="0" fontId="0" fillId="12" borderId="0" xfId="0" applyFill="1" applyAlignment="1">
      <alignment horizontal="right"/>
    </xf>
    <xf numFmtId="0" fontId="0" fillId="10" borderId="0" xfId="0" applyFill="1" applyBorder="1"/>
    <xf numFmtId="0" fontId="6" fillId="8" borderId="5" xfId="0" applyFont="1" applyFill="1" applyBorder="1" applyAlignment="1">
      <alignment horizontal="center" vertical="center"/>
    </xf>
    <xf numFmtId="0" fontId="8" fillId="10" borderId="15" xfId="0" applyFont="1" applyFill="1" applyBorder="1" applyAlignment="1">
      <alignment horizontal="center"/>
    </xf>
    <xf numFmtId="0" fontId="13" fillId="10" borderId="15" xfId="0" applyFont="1" applyFill="1" applyBorder="1" applyAlignment="1">
      <alignment horizontal="center"/>
    </xf>
    <xf numFmtId="0" fontId="13" fillId="10" borderId="16" xfId="0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9" borderId="6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6" fillId="8" borderId="1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2" fillId="8" borderId="3" xfId="0" applyFont="1" applyFill="1" applyBorder="1" applyAlignment="1">
      <alignment horizontal="center" wrapText="1"/>
    </xf>
    <xf numFmtId="0" fontId="0" fillId="3" borderId="13" xfId="0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horizontal="center" vertical="center" wrapText="1"/>
    </xf>
    <xf numFmtId="0" fontId="7" fillId="3" borderId="0" xfId="0" applyFont="1" applyFill="1" applyBorder="1" applyAlignment="1">
      <alignment horizontal="center" vertical="center" wrapText="1"/>
    </xf>
    <xf numFmtId="0" fontId="9" fillId="8" borderId="3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9" fillId="8" borderId="5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11" fillId="8" borderId="3" xfId="0" applyFont="1" applyFill="1" applyBorder="1" applyAlignment="1">
      <alignment horizontal="center" vertical="center" wrapText="1"/>
    </xf>
    <xf numFmtId="0" fontId="10" fillId="7" borderId="0" xfId="0" applyFont="1" applyFill="1" applyAlignment="1">
      <alignment horizontal="center" vertical="center" wrapText="1"/>
    </xf>
    <xf numFmtId="0" fontId="0" fillId="0" borderId="0" xfId="0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9FE3"/>
      <color rgb="FFA7F3F7"/>
      <color rgb="FFDDA6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3</xdr:row>
          <xdr:rowOff>203200</xdr:rowOff>
        </xdr:from>
        <xdr:to>
          <xdr:col>5</xdr:col>
          <xdr:colOff>1601693</xdr:colOff>
          <xdr:row>3</xdr:row>
          <xdr:rowOff>584200</xdr:rowOff>
        </xdr:to>
        <xdr:sp macro="" textlink="">
          <xdr:nvSpPr>
            <xdr:cNvPr id="2052" name="liste_type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80683</xdr:colOff>
          <xdr:row>3</xdr:row>
          <xdr:rowOff>209550</xdr:rowOff>
        </xdr:from>
        <xdr:to>
          <xdr:col>8</xdr:col>
          <xdr:colOff>846792</xdr:colOff>
          <xdr:row>3</xdr:row>
          <xdr:rowOff>539750</xdr:rowOff>
        </xdr:to>
        <xdr:sp macro="" textlink="">
          <xdr:nvSpPr>
            <xdr:cNvPr id="2053" name="liste_RA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116417</xdr:colOff>
      <xdr:row>3</xdr:row>
      <xdr:rowOff>52916</xdr:rowOff>
    </xdr:from>
    <xdr:to>
      <xdr:col>0</xdr:col>
      <xdr:colOff>2730500</xdr:colOff>
      <xdr:row>3</xdr:row>
      <xdr:rowOff>730250</xdr:rowOff>
    </xdr:to>
    <xdr:sp macro="[0]!afficheImage" textlink="">
      <xdr:nvSpPr>
        <xdr:cNvPr id="8125" name="Rectangle 8124">
          <a:extLst>
            <a:ext uri="{FF2B5EF4-FFF2-40B4-BE49-F238E27FC236}">
              <a16:creationId xmlns:a16="http://schemas.microsoft.com/office/drawing/2014/main" id="{00000000-0008-0000-0100-0000BD1F0000}"/>
            </a:ext>
          </a:extLst>
        </xdr:cNvPr>
        <xdr:cNvSpPr/>
      </xdr:nvSpPr>
      <xdr:spPr>
        <a:xfrm>
          <a:off x="116417" y="1280583"/>
          <a:ext cx="2614083" cy="677334"/>
        </a:xfrm>
        <a:prstGeom prst="rect">
          <a:avLst/>
        </a:prstGeom>
        <a:solidFill>
          <a:srgbClr val="009FE3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 i="0">
              <a:latin typeface="ITC Avant Garde Std Bk" panose="020B0502020202020204" pitchFamily="34" charset="0"/>
            </a:rPr>
            <a:t>Cliquer pour afficher les schémas</a:t>
          </a:r>
        </a:p>
      </xdr:txBody>
    </xdr:sp>
    <xdr:clientData/>
  </xdr:twoCellAnchor>
  <xdr:twoCellAnchor editAs="oneCell">
    <xdr:from>
      <xdr:col>0</xdr:col>
      <xdr:colOff>571500</xdr:colOff>
      <xdr:row>0</xdr:row>
      <xdr:rowOff>127000</xdr:rowOff>
    </xdr:from>
    <xdr:to>
      <xdr:col>0</xdr:col>
      <xdr:colOff>2233083</xdr:colOff>
      <xdr:row>2</xdr:row>
      <xdr:rowOff>641283</xdr:rowOff>
    </xdr:to>
    <xdr:pic>
      <xdr:nvPicPr>
        <xdr:cNvPr id="10369" name="Image 10368">
          <a:extLst>
            <a:ext uri="{FF2B5EF4-FFF2-40B4-BE49-F238E27FC236}">
              <a16:creationId xmlns:a16="http://schemas.microsoft.com/office/drawing/2014/main" id="{00000000-0008-0000-0100-0000812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127000"/>
          <a:ext cx="1661583" cy="1022283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571500</xdr:colOff>
      <xdr:row>8</xdr:row>
      <xdr:rowOff>88900</xdr:rowOff>
    </xdr:from>
    <xdr:to>
      <xdr:col>0</xdr:col>
      <xdr:colOff>1968500</xdr:colOff>
      <xdr:row>8</xdr:row>
      <xdr:rowOff>723900</xdr:rowOff>
    </xdr:to>
    <xdr:pic>
      <xdr:nvPicPr>
        <xdr:cNvPr id="59" name="Image 58">
          <a:extLst>
            <a:ext uri="{FF2B5EF4-FFF2-40B4-BE49-F238E27FC236}">
              <a16:creationId xmlns:a16="http://schemas.microsoft.com/office/drawing/2014/main" id="{5A2A1A12-F076-4392-B392-4A959A7195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0" y="3238500"/>
          <a:ext cx="1397000" cy="635000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571500</xdr:colOff>
      <xdr:row>9</xdr:row>
      <xdr:rowOff>88900</xdr:rowOff>
    </xdr:from>
    <xdr:to>
      <xdr:col>0</xdr:col>
      <xdr:colOff>1968500</xdr:colOff>
      <xdr:row>9</xdr:row>
      <xdr:rowOff>723900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1CD86134-7338-4AD0-A0C7-5465945C35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0" y="4000500"/>
          <a:ext cx="1397000" cy="635000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571500</xdr:colOff>
      <xdr:row>10</xdr:row>
      <xdr:rowOff>88900</xdr:rowOff>
    </xdr:from>
    <xdr:to>
      <xdr:col>0</xdr:col>
      <xdr:colOff>1968500</xdr:colOff>
      <xdr:row>10</xdr:row>
      <xdr:rowOff>723900</xdr:rowOff>
    </xdr:to>
    <xdr:pic>
      <xdr:nvPicPr>
        <xdr:cNvPr id="63" name="Image 62">
          <a:extLst>
            <a:ext uri="{FF2B5EF4-FFF2-40B4-BE49-F238E27FC236}">
              <a16:creationId xmlns:a16="http://schemas.microsoft.com/office/drawing/2014/main" id="{BC34CBC1-CEC9-41F6-92C1-1B4104B3A2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0" y="4762500"/>
          <a:ext cx="1397000" cy="635000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571500</xdr:colOff>
      <xdr:row>11</xdr:row>
      <xdr:rowOff>88900</xdr:rowOff>
    </xdr:from>
    <xdr:to>
      <xdr:col>0</xdr:col>
      <xdr:colOff>1968500</xdr:colOff>
      <xdr:row>11</xdr:row>
      <xdr:rowOff>723900</xdr:rowOff>
    </xdr:to>
    <xdr:pic>
      <xdr:nvPicPr>
        <xdr:cNvPr id="8065" name="Image 8064">
          <a:extLst>
            <a:ext uri="{FF2B5EF4-FFF2-40B4-BE49-F238E27FC236}">
              <a16:creationId xmlns:a16="http://schemas.microsoft.com/office/drawing/2014/main" id="{C62C1B1A-D355-4130-8FF0-5B294B87F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0" y="5524500"/>
          <a:ext cx="1397000" cy="635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CBE50-94A3-45ED-AFC5-C38616EBF614}">
  <sheetPr codeName="Feuil2"/>
  <dimension ref="A1:T1428"/>
  <sheetViews>
    <sheetView topLeftCell="A4" workbookViewId="0">
      <selection activeCell="B22" sqref="B22"/>
    </sheetView>
  </sheetViews>
  <sheetFormatPr baseColWidth="10" defaultRowHeight="14.5" x14ac:dyDescent="0.35"/>
  <cols>
    <col min="1" max="1" width="63.54296875" style="4" customWidth="1"/>
    <col min="2" max="2" width="31" style="4" customWidth="1"/>
    <col min="3" max="3" width="5.36328125" style="4" customWidth="1"/>
    <col min="4" max="4" width="15.54296875" style="4" customWidth="1"/>
    <col min="5" max="5" width="6.6328125" style="4" customWidth="1"/>
    <col min="6" max="6" width="18.453125" customWidth="1"/>
    <col min="7" max="7" width="24.90625" customWidth="1"/>
    <col min="8" max="8" width="43.54296875" customWidth="1"/>
    <col min="9" max="9" width="14.26953125" customWidth="1"/>
    <col min="10" max="10" width="13" customWidth="1"/>
    <col min="11" max="11" width="60.08984375" customWidth="1"/>
    <col min="12" max="12" width="25.08984375" customWidth="1"/>
    <col min="13" max="13" width="35.90625" customWidth="1"/>
    <col min="14" max="14" width="57.26953125" customWidth="1"/>
    <col min="15" max="15" width="54.08984375" customWidth="1"/>
    <col min="16" max="16" width="52.26953125" customWidth="1"/>
    <col min="17" max="17" width="28.453125" customWidth="1"/>
    <col min="18" max="18" width="43.08984375" customWidth="1"/>
    <col min="19" max="19" width="90.81640625" customWidth="1"/>
    <col min="24" max="24" width="31.6328125" customWidth="1"/>
    <col min="25" max="25" width="24.1796875" customWidth="1"/>
  </cols>
  <sheetData>
    <row r="1" spans="1:20" ht="21.5" thickBot="1" x14ac:dyDescent="0.55000000000000004">
      <c r="A1" s="23"/>
      <c r="B1" s="39"/>
      <c r="C1" s="39"/>
      <c r="D1"/>
      <c r="E1" s="41" t="s">
        <v>22</v>
      </c>
      <c r="F1" s="42"/>
      <c r="G1" s="42"/>
      <c r="H1" s="42"/>
      <c r="I1" s="42"/>
      <c r="J1" s="42"/>
      <c r="K1" s="42"/>
      <c r="L1" s="43"/>
    </row>
    <row r="2" spans="1:20" x14ac:dyDescent="0.35">
      <c r="A2" s="24"/>
      <c r="B2" s="24" t="s">
        <v>19</v>
      </c>
      <c r="C2" s="24" t="s">
        <v>7</v>
      </c>
      <c r="D2" s="25" t="s">
        <v>0</v>
      </c>
      <c r="E2" s="25" t="s">
        <v>1</v>
      </c>
      <c r="F2" s="25" t="s">
        <v>23</v>
      </c>
      <c r="G2" s="25" t="s">
        <v>24</v>
      </c>
      <c r="H2" s="25" t="s">
        <v>14</v>
      </c>
      <c r="I2" s="25" t="s">
        <v>25</v>
      </c>
      <c r="J2" s="25" t="s">
        <v>15</v>
      </c>
      <c r="K2" s="25" t="s">
        <v>26</v>
      </c>
      <c r="L2" s="25" t="s">
        <v>16</v>
      </c>
      <c r="M2" s="25" t="s">
        <v>27</v>
      </c>
      <c r="N2" s="25" t="s">
        <v>28</v>
      </c>
      <c r="O2" s="25" t="s">
        <v>29</v>
      </c>
      <c r="P2" s="25" t="s">
        <v>16</v>
      </c>
      <c r="Q2" s="25" t="s">
        <v>30</v>
      </c>
      <c r="R2" s="25" t="s">
        <v>31</v>
      </c>
      <c r="S2" s="25" t="s">
        <v>32</v>
      </c>
      <c r="T2" s="25" t="s">
        <v>33</v>
      </c>
    </row>
    <row r="3" spans="1:20" x14ac:dyDescent="0.35">
      <c r="A3" s="21" t="str">
        <f>E3&amp;"_"&amp;COUNTIF(E$3:$E3,E3)&amp;"_"&amp;F3</f>
        <v>48_1_Combles_perdus</v>
      </c>
      <c r="B3" s="21" t="s">
        <v>132</v>
      </c>
      <c r="C3" s="21">
        <v>1</v>
      </c>
      <c r="D3" s="21" t="s">
        <v>3</v>
      </c>
      <c r="E3" s="21">
        <v>48</v>
      </c>
      <c r="F3" s="26" t="s">
        <v>34</v>
      </c>
      <c r="G3" s="26" t="s">
        <v>35</v>
      </c>
      <c r="H3" s="21"/>
      <c r="I3" s="21"/>
      <c r="J3" s="21"/>
      <c r="K3" s="21"/>
      <c r="L3" s="21"/>
      <c r="M3" s="21"/>
      <c r="N3" s="21"/>
      <c r="O3" s="21" t="s">
        <v>36</v>
      </c>
      <c r="P3" s="21"/>
      <c r="Q3" s="21" t="s">
        <v>37</v>
      </c>
      <c r="R3" s="21"/>
      <c r="S3" s="21"/>
      <c r="T3" s="21" t="s">
        <v>38</v>
      </c>
    </row>
    <row r="4" spans="1:20" x14ac:dyDescent="0.35">
      <c r="A4" s="21" t="str">
        <f>E4&amp;"_"&amp;COUNTIF(E$3:$E4,E4)&amp;"_"&amp;F4</f>
        <v>54_1_Combles_perdus</v>
      </c>
      <c r="B4" s="21" t="s">
        <v>132</v>
      </c>
      <c r="C4" s="21">
        <v>2</v>
      </c>
      <c r="D4" s="21" t="s">
        <v>3</v>
      </c>
      <c r="E4" s="21">
        <v>54</v>
      </c>
      <c r="F4" s="26" t="s">
        <v>34</v>
      </c>
      <c r="G4" s="26" t="s">
        <v>35</v>
      </c>
      <c r="H4" s="21"/>
      <c r="I4" s="21"/>
      <c r="J4" s="21"/>
      <c r="K4" s="21"/>
      <c r="L4" s="21"/>
      <c r="M4" s="21"/>
      <c r="N4" s="21"/>
      <c r="O4" s="21" t="s">
        <v>36</v>
      </c>
      <c r="P4" s="21"/>
      <c r="Q4" s="21" t="s">
        <v>37</v>
      </c>
      <c r="R4" s="21"/>
      <c r="S4" s="21"/>
      <c r="T4" s="21" t="s">
        <v>39</v>
      </c>
    </row>
    <row r="5" spans="1:20" x14ac:dyDescent="0.35">
      <c r="A5" s="21" t="str">
        <f>E5&amp;"_"&amp;COUNTIF(E$3:$E5,E5)&amp;"_"&amp;F5</f>
        <v>46_1_Combles_aménagés</v>
      </c>
      <c r="B5" s="21" t="s">
        <v>133</v>
      </c>
      <c r="C5" s="21">
        <v>3</v>
      </c>
      <c r="D5" s="20" t="s">
        <v>3</v>
      </c>
      <c r="E5" s="20">
        <v>46</v>
      </c>
      <c r="F5" s="27" t="s">
        <v>40</v>
      </c>
      <c r="G5" s="27" t="s">
        <v>35</v>
      </c>
      <c r="H5" s="20"/>
      <c r="I5" s="20"/>
      <c r="J5" s="20"/>
      <c r="K5" s="20"/>
      <c r="L5" s="20"/>
      <c r="M5" s="20"/>
      <c r="N5" s="20"/>
      <c r="O5" s="20" t="s">
        <v>41</v>
      </c>
      <c r="P5" s="20"/>
      <c r="Q5" s="20" t="s">
        <v>17</v>
      </c>
      <c r="R5" s="20"/>
      <c r="S5" s="20"/>
      <c r="T5" s="20" t="s">
        <v>38</v>
      </c>
    </row>
    <row r="6" spans="1:20" x14ac:dyDescent="0.35">
      <c r="A6" s="21" t="str">
        <f>E6&amp;"_"&amp;COUNTIF(E$3:$E6,E6)&amp;"_"&amp;F6</f>
        <v>51_1_Combles_aménagés</v>
      </c>
      <c r="B6" s="21" t="s">
        <v>133</v>
      </c>
      <c r="C6" s="21">
        <v>4</v>
      </c>
      <c r="D6" s="20" t="s">
        <v>3</v>
      </c>
      <c r="E6" s="20">
        <v>51</v>
      </c>
      <c r="F6" s="27" t="s">
        <v>40</v>
      </c>
      <c r="G6" s="27" t="s">
        <v>35</v>
      </c>
      <c r="H6" s="20"/>
      <c r="I6" s="20"/>
      <c r="J6" s="20"/>
      <c r="K6" s="20"/>
      <c r="L6" s="20"/>
      <c r="M6" s="20"/>
      <c r="N6" s="20"/>
      <c r="O6" s="20" t="s">
        <v>41</v>
      </c>
      <c r="P6" s="20"/>
      <c r="Q6" s="20" t="s">
        <v>17</v>
      </c>
      <c r="R6" s="20"/>
      <c r="S6" s="20"/>
      <c r="T6" s="20" t="s">
        <v>39</v>
      </c>
    </row>
    <row r="7" spans="1:20" x14ac:dyDescent="0.35">
      <c r="A7" s="21" t="str">
        <f>E7&amp;"_"&amp;COUNTIF(E$3:$E7,E7)&amp;"_"&amp;F7</f>
        <v>47_1_Combles_aménagés_caissons_préfabriqués</v>
      </c>
      <c r="B7" s="21" t="s">
        <v>134</v>
      </c>
      <c r="C7" s="21">
        <v>5</v>
      </c>
      <c r="D7" s="20" t="s">
        <v>3</v>
      </c>
      <c r="E7" s="20">
        <v>47</v>
      </c>
      <c r="F7" s="27" t="s">
        <v>42</v>
      </c>
      <c r="G7" s="27" t="s">
        <v>35</v>
      </c>
      <c r="H7" s="20"/>
      <c r="I7" s="20"/>
      <c r="J7" s="20"/>
      <c r="K7" s="20"/>
      <c r="L7" s="20"/>
      <c r="M7" s="20"/>
      <c r="N7" s="20"/>
      <c r="O7" s="20" t="s">
        <v>41</v>
      </c>
      <c r="P7" s="20"/>
      <c r="Q7" s="20" t="s">
        <v>17</v>
      </c>
      <c r="R7" s="20"/>
      <c r="S7" s="20"/>
      <c r="T7" s="20" t="s">
        <v>38</v>
      </c>
    </row>
    <row r="8" spans="1:20" x14ac:dyDescent="0.35">
      <c r="A8" s="21" t="str">
        <f>E8&amp;"_"&amp;COUNTIF(E$3:$E8,E8)&amp;"_"&amp;F8</f>
        <v>48_2_Sarking</v>
      </c>
      <c r="B8" s="21" t="s">
        <v>136</v>
      </c>
      <c r="C8" s="21">
        <v>6</v>
      </c>
      <c r="D8" s="21" t="s">
        <v>3</v>
      </c>
      <c r="E8" s="21">
        <v>48</v>
      </c>
      <c r="F8" s="26" t="s">
        <v>43</v>
      </c>
      <c r="G8" s="26" t="s">
        <v>35</v>
      </c>
      <c r="H8" s="21"/>
      <c r="I8" s="21"/>
      <c r="J8" s="21"/>
      <c r="K8" s="21"/>
      <c r="L8" s="21"/>
      <c r="M8" s="21"/>
      <c r="N8" s="21"/>
      <c r="O8" s="21" t="s">
        <v>41</v>
      </c>
      <c r="P8" s="21"/>
      <c r="Q8" s="21" t="s">
        <v>37</v>
      </c>
      <c r="R8" s="21"/>
      <c r="S8" s="21"/>
      <c r="T8" s="21" t="s">
        <v>4</v>
      </c>
    </row>
    <row r="9" spans="1:20" x14ac:dyDescent="0.35">
      <c r="A9" s="21" t="str">
        <f>E9&amp;"_"&amp;COUNTIF(E$3:$E9,E9)&amp;"_"&amp;F9</f>
        <v>45_1_Toitures_terrasses</v>
      </c>
      <c r="B9" s="21" t="s">
        <v>135</v>
      </c>
      <c r="C9" s="21">
        <v>7</v>
      </c>
      <c r="D9" s="20" t="s">
        <v>3</v>
      </c>
      <c r="E9" s="20">
        <v>45</v>
      </c>
      <c r="F9" s="27" t="s">
        <v>56</v>
      </c>
      <c r="G9" s="27" t="s">
        <v>44</v>
      </c>
      <c r="H9" s="20"/>
      <c r="I9" s="20"/>
      <c r="J9" s="20"/>
      <c r="K9" s="20"/>
      <c r="L9" s="20"/>
      <c r="M9" s="20"/>
      <c r="N9" s="20"/>
      <c r="O9" s="20" t="s">
        <v>45</v>
      </c>
      <c r="P9" s="20"/>
      <c r="Q9" s="20" t="s">
        <v>37</v>
      </c>
      <c r="R9" s="20"/>
      <c r="S9" s="20"/>
      <c r="T9" s="20" t="s">
        <v>4</v>
      </c>
    </row>
    <row r="10" spans="1:20" x14ac:dyDescent="0.35">
      <c r="A10" s="21" t="str">
        <f>E10&amp;"_"&amp;COUNTIF(E$3:$E10,E10)&amp;"_"&amp;F10</f>
        <v>48_3_Combles_perdus</v>
      </c>
      <c r="B10" s="21" t="s">
        <v>139</v>
      </c>
      <c r="C10" s="21">
        <v>8</v>
      </c>
      <c r="D10" s="19" t="s">
        <v>46</v>
      </c>
      <c r="E10" s="19">
        <v>48</v>
      </c>
      <c r="F10" s="28" t="s">
        <v>34</v>
      </c>
      <c r="G10" s="28" t="s">
        <v>47</v>
      </c>
      <c r="H10" s="19" t="s">
        <v>48</v>
      </c>
      <c r="I10" s="19" t="s">
        <v>48</v>
      </c>
      <c r="J10" s="19" t="s">
        <v>17</v>
      </c>
      <c r="K10" s="29" t="s">
        <v>142</v>
      </c>
      <c r="L10" s="19"/>
      <c r="M10" s="19" t="s">
        <v>141</v>
      </c>
      <c r="N10" s="19" t="s">
        <v>144</v>
      </c>
      <c r="O10" s="29" t="s">
        <v>143</v>
      </c>
      <c r="P10" s="19"/>
      <c r="Q10" s="19" t="s">
        <v>17</v>
      </c>
      <c r="R10" s="19" t="s">
        <v>49</v>
      </c>
      <c r="S10" s="19"/>
      <c r="T10" s="19" t="s">
        <v>50</v>
      </c>
    </row>
    <row r="11" spans="1:20" x14ac:dyDescent="0.35">
      <c r="A11" s="21" t="str">
        <f>E11&amp;"_"&amp;COUNTIF(E$3:$E11,E11)&amp;"_"&amp;F11</f>
        <v>54_2_Combles_perdus</v>
      </c>
      <c r="B11" s="21" t="s">
        <v>140</v>
      </c>
      <c r="C11" s="21">
        <v>9</v>
      </c>
      <c r="D11" s="19" t="s">
        <v>46</v>
      </c>
      <c r="E11" s="19">
        <v>54</v>
      </c>
      <c r="F11" s="28" t="s">
        <v>34</v>
      </c>
      <c r="G11" s="28" t="s">
        <v>47</v>
      </c>
      <c r="H11" s="19" t="s">
        <v>48</v>
      </c>
      <c r="I11" s="19" t="s">
        <v>48</v>
      </c>
      <c r="J11" s="19" t="s">
        <v>17</v>
      </c>
      <c r="K11" s="29" t="s">
        <v>142</v>
      </c>
      <c r="L11" s="19"/>
      <c r="M11" s="19" t="s">
        <v>141</v>
      </c>
      <c r="N11" s="19" t="s">
        <v>144</v>
      </c>
      <c r="O11" s="29" t="s">
        <v>143</v>
      </c>
      <c r="P11" s="19"/>
      <c r="Q11" s="19" t="s">
        <v>17</v>
      </c>
      <c r="R11" s="19" t="s">
        <v>49</v>
      </c>
      <c r="S11" s="19"/>
      <c r="T11" s="19" t="s">
        <v>51</v>
      </c>
    </row>
    <row r="12" spans="1:20" x14ac:dyDescent="0.35">
      <c r="A12" s="21" t="str">
        <f>E12&amp;"_"&amp;COUNTIF(E$3:$E12,E12)&amp;"_"&amp;F12</f>
        <v>37_1_Combles_aménagés</v>
      </c>
      <c r="B12" s="21" t="s">
        <v>156</v>
      </c>
      <c r="C12" s="21">
        <v>10</v>
      </c>
      <c r="D12" s="5" t="s">
        <v>46</v>
      </c>
      <c r="E12" s="5">
        <v>37</v>
      </c>
      <c r="F12" s="30" t="s">
        <v>40</v>
      </c>
      <c r="G12" s="30" t="s">
        <v>47</v>
      </c>
      <c r="H12" s="5" t="s">
        <v>48</v>
      </c>
      <c r="I12" s="5" t="s">
        <v>48</v>
      </c>
      <c r="J12" s="5" t="s">
        <v>17</v>
      </c>
      <c r="K12" s="5"/>
      <c r="L12" s="5"/>
      <c r="M12" s="5"/>
      <c r="N12" s="5" t="s">
        <v>147</v>
      </c>
      <c r="O12" s="5" t="s">
        <v>148</v>
      </c>
      <c r="P12" s="5" t="s">
        <v>155</v>
      </c>
      <c r="Q12" s="5"/>
      <c r="R12" s="5"/>
      <c r="S12" s="5"/>
      <c r="T12" s="5"/>
    </row>
    <row r="13" spans="1:20" x14ac:dyDescent="0.35">
      <c r="A13" s="21" t="str">
        <f>E13&amp;"_"&amp;COUNTIF(E$3:$E13,E13)&amp;"_"&amp;F13</f>
        <v>46_2_Combles_aménagés</v>
      </c>
      <c r="B13" s="21" t="s">
        <v>146</v>
      </c>
      <c r="C13" s="21">
        <v>11</v>
      </c>
      <c r="D13" s="5" t="s">
        <v>46</v>
      </c>
      <c r="E13" s="5">
        <v>46</v>
      </c>
      <c r="F13" s="30" t="s">
        <v>40</v>
      </c>
      <c r="G13" s="30" t="s">
        <v>47</v>
      </c>
      <c r="H13" s="5" t="s">
        <v>48</v>
      </c>
      <c r="I13" s="5" t="s">
        <v>48</v>
      </c>
      <c r="J13" s="5" t="s">
        <v>17</v>
      </c>
      <c r="K13" s="5"/>
      <c r="L13" s="5"/>
      <c r="M13" s="5"/>
      <c r="N13" s="5" t="s">
        <v>144</v>
      </c>
      <c r="O13" s="5" t="s">
        <v>148</v>
      </c>
      <c r="P13" s="5"/>
      <c r="Q13" s="5" t="s">
        <v>17</v>
      </c>
      <c r="R13" s="5" t="s">
        <v>49</v>
      </c>
      <c r="S13" s="5" t="s">
        <v>149</v>
      </c>
      <c r="T13" s="5" t="s">
        <v>50</v>
      </c>
    </row>
    <row r="14" spans="1:20" x14ac:dyDescent="0.35">
      <c r="A14" s="21" t="str">
        <f>E14&amp;"_"&amp;COUNTIF(E$3:$E14,E14)&amp;"_"&amp;F14</f>
        <v>47_2_Combles_aménagés</v>
      </c>
      <c r="B14" s="21" t="s">
        <v>154</v>
      </c>
      <c r="C14" s="21">
        <v>12</v>
      </c>
      <c r="D14" s="5" t="s">
        <v>46</v>
      </c>
      <c r="E14" s="5">
        <v>47</v>
      </c>
      <c r="F14" s="30" t="s">
        <v>40</v>
      </c>
      <c r="G14" s="30" t="s">
        <v>47</v>
      </c>
      <c r="H14" s="5" t="s">
        <v>48</v>
      </c>
      <c r="I14" s="5" t="s">
        <v>48</v>
      </c>
      <c r="J14" s="5" t="s">
        <v>17</v>
      </c>
      <c r="K14" s="5"/>
      <c r="L14" s="5"/>
      <c r="M14" s="5"/>
      <c r="N14" s="5" t="s">
        <v>147</v>
      </c>
      <c r="O14" s="5" t="s">
        <v>148</v>
      </c>
      <c r="P14" s="5" t="s">
        <v>155</v>
      </c>
      <c r="Q14" s="5" t="s">
        <v>17</v>
      </c>
      <c r="R14" s="5" t="s">
        <v>49</v>
      </c>
      <c r="S14" s="5" t="s">
        <v>149</v>
      </c>
      <c r="T14" s="5" t="s">
        <v>50</v>
      </c>
    </row>
    <row r="15" spans="1:20" x14ac:dyDescent="0.35">
      <c r="A15" s="21" t="str">
        <f>E15&amp;"_"&amp;COUNTIF(E$3:$E15,E15)&amp;"_"&amp;F15</f>
        <v>49_1_Combles_aménagés</v>
      </c>
      <c r="B15" s="21" t="s">
        <v>150</v>
      </c>
      <c r="C15" s="21">
        <v>13</v>
      </c>
      <c r="D15" s="5" t="s">
        <v>46</v>
      </c>
      <c r="E15" s="5">
        <v>49</v>
      </c>
      <c r="F15" s="30" t="s">
        <v>40</v>
      </c>
      <c r="G15" s="30" t="s">
        <v>47</v>
      </c>
      <c r="H15" s="5" t="s">
        <v>48</v>
      </c>
      <c r="I15" s="5" t="s">
        <v>48</v>
      </c>
      <c r="J15" s="5" t="s">
        <v>17</v>
      </c>
      <c r="K15" s="5"/>
      <c r="L15" s="5"/>
      <c r="M15" s="5"/>
      <c r="N15" s="5" t="s">
        <v>144</v>
      </c>
      <c r="O15" s="5" t="s">
        <v>152</v>
      </c>
      <c r="P15" s="5"/>
      <c r="Q15" s="5" t="s">
        <v>17</v>
      </c>
      <c r="R15" s="5" t="s">
        <v>49</v>
      </c>
      <c r="S15" s="5" t="s">
        <v>153</v>
      </c>
      <c r="T15" s="5" t="s">
        <v>50</v>
      </c>
    </row>
    <row r="16" spans="1:20" x14ac:dyDescent="0.35">
      <c r="A16" s="21" t="str">
        <f>E16&amp;"_"&amp;COUNTIF(E$3:$E16,E16)&amp;"_"&amp;F16</f>
        <v>49_2_Combles_aménagés</v>
      </c>
      <c r="B16" s="21" t="s">
        <v>151</v>
      </c>
      <c r="C16" s="21">
        <v>14</v>
      </c>
      <c r="D16" s="5" t="s">
        <v>46</v>
      </c>
      <c r="E16" s="5">
        <v>49</v>
      </c>
      <c r="F16" s="30" t="s">
        <v>40</v>
      </c>
      <c r="G16" s="30" t="s">
        <v>47</v>
      </c>
      <c r="H16" s="5" t="s">
        <v>48</v>
      </c>
      <c r="I16" s="5" t="s">
        <v>48</v>
      </c>
      <c r="J16" s="5" t="s">
        <v>17</v>
      </c>
      <c r="K16" s="5"/>
      <c r="L16" s="5"/>
      <c r="M16" s="5"/>
      <c r="N16" s="5" t="s">
        <v>144</v>
      </c>
      <c r="O16" s="5" t="s">
        <v>148</v>
      </c>
      <c r="P16" s="5"/>
      <c r="Q16" s="5" t="s">
        <v>17</v>
      </c>
      <c r="R16" s="5" t="s">
        <v>49</v>
      </c>
      <c r="S16" s="5" t="s">
        <v>149</v>
      </c>
      <c r="T16" s="5" t="s">
        <v>52</v>
      </c>
    </row>
    <row r="17" spans="1:20" x14ac:dyDescent="0.35">
      <c r="A17" s="21" t="str">
        <f>E17&amp;"_"&amp;COUNTIF(E$3:$E17,E17)&amp;"_"&amp;F17</f>
        <v>51_2_Combles_aménagés</v>
      </c>
      <c r="B17" s="21" t="s">
        <v>145</v>
      </c>
      <c r="C17" s="21">
        <v>15</v>
      </c>
      <c r="D17" s="5" t="s">
        <v>46</v>
      </c>
      <c r="E17" s="5">
        <v>51</v>
      </c>
      <c r="F17" s="30" t="s">
        <v>40</v>
      </c>
      <c r="G17" s="30" t="s">
        <v>47</v>
      </c>
      <c r="H17" s="5" t="s">
        <v>48</v>
      </c>
      <c r="I17" s="5" t="s">
        <v>48</v>
      </c>
      <c r="J17" s="5" t="s">
        <v>17</v>
      </c>
      <c r="K17" s="5"/>
      <c r="L17" s="5"/>
      <c r="M17" s="5"/>
      <c r="N17" s="5" t="s">
        <v>144</v>
      </c>
      <c r="O17" s="5" t="s">
        <v>148</v>
      </c>
      <c r="P17" s="5"/>
      <c r="Q17" s="5" t="s">
        <v>17</v>
      </c>
      <c r="R17" s="5" t="s">
        <v>49</v>
      </c>
      <c r="S17" s="5" t="s">
        <v>149</v>
      </c>
      <c r="T17" s="5" t="s">
        <v>51</v>
      </c>
    </row>
    <row r="18" spans="1:20" x14ac:dyDescent="0.35">
      <c r="A18" s="21" t="str">
        <f>E18&amp;"_"&amp;COUNTIF(E$3:$E18,E18)&amp;"_"&amp;F18</f>
        <v>48_4_Sarking</v>
      </c>
      <c r="B18" s="21" t="s">
        <v>160</v>
      </c>
      <c r="C18" s="21">
        <v>16</v>
      </c>
      <c r="D18" s="19" t="s">
        <v>46</v>
      </c>
      <c r="E18" s="19">
        <v>48</v>
      </c>
      <c r="F18" s="28" t="s">
        <v>43</v>
      </c>
      <c r="G18" s="28" t="s">
        <v>47</v>
      </c>
      <c r="H18" s="19" t="s">
        <v>48</v>
      </c>
      <c r="I18" s="19" t="s">
        <v>53</v>
      </c>
      <c r="J18" s="19" t="s">
        <v>37</v>
      </c>
      <c r="K18" s="19" t="s">
        <v>54</v>
      </c>
      <c r="L18" s="19" t="s">
        <v>55</v>
      </c>
      <c r="M18" s="19"/>
      <c r="N18" s="19" t="s">
        <v>144</v>
      </c>
      <c r="O18" s="19" t="s">
        <v>159</v>
      </c>
      <c r="P18" s="19"/>
      <c r="Q18" s="19" t="s">
        <v>17</v>
      </c>
      <c r="R18" s="19" t="s">
        <v>49</v>
      </c>
      <c r="S18" s="19"/>
      <c r="T18" s="19" t="s">
        <v>50</v>
      </c>
    </row>
    <row r="19" spans="1:20" x14ac:dyDescent="0.35">
      <c r="A19" s="21" t="str">
        <f>E19&amp;"_"&amp;COUNTIF(E$3:$E19,E19)&amp;"_"&amp;F19</f>
        <v>50_1_Sarking</v>
      </c>
      <c r="B19" s="21" t="s">
        <v>157</v>
      </c>
      <c r="C19" s="21">
        <v>17</v>
      </c>
      <c r="D19" s="19" t="s">
        <v>46</v>
      </c>
      <c r="E19" s="19">
        <v>50</v>
      </c>
      <c r="F19" s="28" t="s">
        <v>43</v>
      </c>
      <c r="G19" s="28" t="s">
        <v>47</v>
      </c>
      <c r="H19" s="19" t="s">
        <v>48</v>
      </c>
      <c r="I19" s="19" t="s">
        <v>53</v>
      </c>
      <c r="J19" s="19" t="s">
        <v>37</v>
      </c>
      <c r="K19" s="19" t="s">
        <v>158</v>
      </c>
      <c r="L19" s="19" t="s">
        <v>55</v>
      </c>
      <c r="M19" s="19"/>
      <c r="N19" s="19" t="s">
        <v>144</v>
      </c>
      <c r="O19" s="19" t="s">
        <v>159</v>
      </c>
      <c r="P19" s="19"/>
      <c r="Q19" s="19" t="s">
        <v>17</v>
      </c>
      <c r="R19" s="19" t="s">
        <v>49</v>
      </c>
      <c r="S19" s="19"/>
      <c r="T19" s="19" t="s">
        <v>50</v>
      </c>
    </row>
    <row r="20" spans="1:20" x14ac:dyDescent="0.35">
      <c r="A20" s="21" t="str">
        <f>E20&amp;"_"&amp;COUNTIF(E$3:$E20,E20)&amp;"_"&amp;F20</f>
        <v>51_3_Sarking</v>
      </c>
      <c r="B20" s="21" t="s">
        <v>161</v>
      </c>
      <c r="C20" s="21">
        <v>18</v>
      </c>
      <c r="D20" s="19" t="s">
        <v>46</v>
      </c>
      <c r="E20" s="19">
        <v>51</v>
      </c>
      <c r="F20" s="28" t="s">
        <v>43</v>
      </c>
      <c r="G20" s="28" t="s">
        <v>47</v>
      </c>
      <c r="H20" s="19" t="s">
        <v>48</v>
      </c>
      <c r="I20" s="19" t="s">
        <v>53</v>
      </c>
      <c r="J20" s="19" t="s">
        <v>17</v>
      </c>
      <c r="K20" s="19" t="s">
        <v>162</v>
      </c>
      <c r="L20" s="19" t="s">
        <v>55</v>
      </c>
      <c r="M20" s="19"/>
      <c r="N20" s="19" t="s">
        <v>144</v>
      </c>
      <c r="O20" s="19" t="s">
        <v>148</v>
      </c>
      <c r="P20" s="19"/>
      <c r="Q20" s="19" t="s">
        <v>17</v>
      </c>
      <c r="R20" s="19" t="s">
        <v>49</v>
      </c>
      <c r="S20" s="19"/>
      <c r="T20" s="19" t="s">
        <v>50</v>
      </c>
    </row>
    <row r="21" spans="1:20" x14ac:dyDescent="0.35">
      <c r="A21" s="21" t="str">
        <f>E21&amp;"_"&amp;COUNTIF(E$3:$E21,E21)&amp;"_"&amp;F21</f>
        <v>45_2_Toitures_terrasses</v>
      </c>
      <c r="B21" s="21" t="s">
        <v>165</v>
      </c>
      <c r="C21" s="21">
        <v>19</v>
      </c>
      <c r="D21" s="5" t="s">
        <v>46</v>
      </c>
      <c r="E21" s="5">
        <v>45</v>
      </c>
      <c r="F21" s="30" t="s">
        <v>56</v>
      </c>
      <c r="G21" s="30" t="s">
        <v>57</v>
      </c>
      <c r="H21" s="5"/>
      <c r="I21" s="5"/>
      <c r="J21" s="5"/>
      <c r="K21" s="5" t="s">
        <v>163</v>
      </c>
      <c r="L21" s="5" t="s">
        <v>55</v>
      </c>
      <c r="M21" s="5"/>
      <c r="N21" s="5" t="s">
        <v>144</v>
      </c>
      <c r="O21" s="5"/>
      <c r="P21" s="5"/>
      <c r="Q21" s="5" t="s">
        <v>17</v>
      </c>
      <c r="R21" s="5" t="s">
        <v>49</v>
      </c>
      <c r="S21" s="5"/>
      <c r="T21" s="5" t="s">
        <v>50</v>
      </c>
    </row>
    <row r="22" spans="1:20" x14ac:dyDescent="0.35">
      <c r="A22" s="21" t="str">
        <f>E22&amp;"_"&amp;COUNTIF(E$3:$E22,E22)&amp;"_"&amp;F22</f>
        <v>45_3_Toitures_terrasses</v>
      </c>
      <c r="B22" s="21" t="s">
        <v>166</v>
      </c>
      <c r="C22" s="21">
        <v>20</v>
      </c>
      <c r="D22" s="5" t="s">
        <v>46</v>
      </c>
      <c r="E22" s="5">
        <v>45</v>
      </c>
      <c r="F22" s="30" t="s">
        <v>56</v>
      </c>
      <c r="G22" s="30" t="s">
        <v>57</v>
      </c>
      <c r="H22" s="5"/>
      <c r="I22" s="5"/>
      <c r="J22" s="5"/>
      <c r="K22" s="5" t="s">
        <v>163</v>
      </c>
      <c r="L22" s="5" t="s">
        <v>55</v>
      </c>
      <c r="M22" s="5"/>
      <c r="N22" s="5" t="s">
        <v>144</v>
      </c>
      <c r="O22" s="5"/>
      <c r="P22" s="5"/>
      <c r="Q22" s="5" t="s">
        <v>17</v>
      </c>
      <c r="R22" s="5" t="s">
        <v>49</v>
      </c>
      <c r="S22" s="5" t="s">
        <v>164</v>
      </c>
      <c r="T22" s="5" t="s">
        <v>50</v>
      </c>
    </row>
    <row r="23" spans="1:20" x14ac:dyDescent="0.35">
      <c r="A23" s="21" t="str">
        <f>E23&amp;"_"&amp;COUNTIF(E$3:$E23,E23)&amp;"_"&amp;F23</f>
        <v>54_3_Panneaux_bois_massif_placage_int_toiture</v>
      </c>
      <c r="B23" s="31" t="s">
        <v>58</v>
      </c>
      <c r="C23" s="21">
        <v>21</v>
      </c>
      <c r="D23" s="31" t="s">
        <v>58</v>
      </c>
      <c r="E23" s="31">
        <v>54</v>
      </c>
      <c r="F23" s="31" t="s">
        <v>138</v>
      </c>
      <c r="G23" s="32" t="s">
        <v>59</v>
      </c>
      <c r="H23" s="31" t="s">
        <v>60</v>
      </c>
      <c r="I23" s="31" t="s">
        <v>61</v>
      </c>
      <c r="J23" s="31" t="s">
        <v>62</v>
      </c>
      <c r="K23" s="31" t="s">
        <v>63</v>
      </c>
      <c r="L23" s="31" t="s">
        <v>64</v>
      </c>
      <c r="M23" s="31"/>
      <c r="N23" s="31"/>
      <c r="O23" s="31"/>
      <c r="P23" s="31"/>
      <c r="Q23" s="31" t="s">
        <v>17</v>
      </c>
      <c r="R23" s="31"/>
      <c r="S23" s="31"/>
      <c r="T23" s="31"/>
    </row>
    <row r="24" spans="1:20" x14ac:dyDescent="0.35">
      <c r="A24" s="21" t="str">
        <f>E24&amp;"_"&amp;COUNTIF(E$3:$E24,E24)&amp;"_"&amp;F24</f>
        <v>54_4_Panneaux_bois_massif_placage_int_toiture</v>
      </c>
      <c r="B24" s="33" t="s">
        <v>65</v>
      </c>
      <c r="C24" s="21">
        <v>22</v>
      </c>
      <c r="D24" s="33" t="s">
        <v>65</v>
      </c>
      <c r="E24" s="33">
        <v>54</v>
      </c>
      <c r="F24" s="31" t="s">
        <v>138</v>
      </c>
      <c r="G24" s="34" t="s">
        <v>59</v>
      </c>
      <c r="H24" s="33" t="s">
        <v>60</v>
      </c>
      <c r="I24" s="33" t="s">
        <v>61</v>
      </c>
      <c r="J24" s="33" t="s">
        <v>62</v>
      </c>
      <c r="K24" s="33" t="s">
        <v>66</v>
      </c>
      <c r="L24" s="33" t="s">
        <v>64</v>
      </c>
      <c r="M24" s="33"/>
      <c r="N24" s="33"/>
      <c r="O24" s="33"/>
      <c r="P24" s="33"/>
      <c r="Q24" s="33" t="s">
        <v>17</v>
      </c>
      <c r="R24" s="33"/>
      <c r="S24" s="33"/>
      <c r="T24" s="33"/>
    </row>
    <row r="25" spans="1:20" x14ac:dyDescent="0.35">
      <c r="A25" s="21" t="str">
        <f>E25&amp;"_"&amp;COUNTIF(E$3:$E25,E25)&amp;"_"&amp;F25</f>
        <v>62_1_Panneaux_bois_massif_placage_int_toiture</v>
      </c>
      <c r="B25" s="31" t="s">
        <v>67</v>
      </c>
      <c r="C25" s="21">
        <v>23</v>
      </c>
      <c r="D25" s="31" t="s">
        <v>67</v>
      </c>
      <c r="E25" s="31">
        <v>62</v>
      </c>
      <c r="F25" s="31" t="s">
        <v>138</v>
      </c>
      <c r="G25" s="32" t="s">
        <v>59</v>
      </c>
      <c r="H25" s="31" t="s">
        <v>60</v>
      </c>
      <c r="I25" s="31" t="s">
        <v>61</v>
      </c>
      <c r="J25" s="31" t="s">
        <v>62</v>
      </c>
      <c r="K25" s="31" t="s">
        <v>63</v>
      </c>
      <c r="L25" s="31" t="s">
        <v>64</v>
      </c>
      <c r="M25" s="31"/>
      <c r="N25" s="31"/>
      <c r="O25" s="31"/>
      <c r="P25" s="31"/>
      <c r="Q25" s="31" t="s">
        <v>17</v>
      </c>
      <c r="R25" s="31" t="s">
        <v>18</v>
      </c>
      <c r="S25" s="31" t="s">
        <v>5</v>
      </c>
      <c r="T25" s="31" t="s">
        <v>68</v>
      </c>
    </row>
    <row r="26" spans="1:20" x14ac:dyDescent="0.35">
      <c r="A26" s="21" t="str">
        <f>E26&amp;"_"&amp;COUNTIF(E$3:$E26,E26)&amp;"_"&amp;F26</f>
        <v>62_2_Panneaux_bois_massif_placage_int_toiture</v>
      </c>
      <c r="B26" s="31" t="s">
        <v>67</v>
      </c>
      <c r="C26" s="21">
        <v>24</v>
      </c>
      <c r="D26" s="31" t="s">
        <v>67</v>
      </c>
      <c r="E26" s="31">
        <v>62</v>
      </c>
      <c r="F26" s="31" t="s">
        <v>138</v>
      </c>
      <c r="G26" s="32" t="s">
        <v>59</v>
      </c>
      <c r="H26" s="31" t="s">
        <v>60</v>
      </c>
      <c r="I26" s="31" t="s">
        <v>61</v>
      </c>
      <c r="J26" s="31" t="s">
        <v>62</v>
      </c>
      <c r="K26" s="31" t="s">
        <v>63</v>
      </c>
      <c r="L26" s="31" t="s">
        <v>64</v>
      </c>
      <c r="M26" s="31"/>
      <c r="N26" s="31"/>
      <c r="O26" s="31"/>
      <c r="P26" s="31"/>
      <c r="Q26" s="31" t="s">
        <v>17</v>
      </c>
      <c r="R26" s="31" t="s">
        <v>18</v>
      </c>
      <c r="S26" s="31" t="s">
        <v>5</v>
      </c>
      <c r="T26" s="31" t="s">
        <v>69</v>
      </c>
    </row>
    <row r="27" spans="1:20" x14ac:dyDescent="0.35">
      <c r="A27" s="21" t="str">
        <f>E27&amp;"_"&amp;COUNTIF(E$3:$E27,E27)&amp;"_"&amp;F27</f>
        <v>62_3_Panneaux_bois_massif_placage_int_toiture</v>
      </c>
      <c r="B27" s="33" t="s">
        <v>70</v>
      </c>
      <c r="C27" s="21">
        <v>25</v>
      </c>
      <c r="D27" s="33" t="s">
        <v>70</v>
      </c>
      <c r="E27" s="33">
        <v>62</v>
      </c>
      <c r="F27" s="31" t="s">
        <v>138</v>
      </c>
      <c r="G27" s="34" t="s">
        <v>59</v>
      </c>
      <c r="H27" s="33" t="s">
        <v>71</v>
      </c>
      <c r="I27" s="33" t="s">
        <v>61</v>
      </c>
      <c r="J27" s="33" t="s">
        <v>62</v>
      </c>
      <c r="K27" s="33" t="s">
        <v>66</v>
      </c>
      <c r="L27" s="33" t="s">
        <v>64</v>
      </c>
      <c r="M27" s="33"/>
      <c r="N27" s="33"/>
      <c r="O27" s="33"/>
      <c r="P27" s="33"/>
      <c r="Q27" s="33" t="s">
        <v>17</v>
      </c>
      <c r="R27" s="33" t="s">
        <v>18</v>
      </c>
      <c r="S27" s="33" t="s">
        <v>5</v>
      </c>
      <c r="T27" s="33" t="s">
        <v>68</v>
      </c>
    </row>
    <row r="28" spans="1:20" x14ac:dyDescent="0.35">
      <c r="A28" s="21" t="str">
        <f>E28&amp;"_"&amp;COUNTIF(E$3:$E28,E28)&amp;"_"&amp;F28</f>
        <v>62_4_Panneaux_bois_massif_placage_int_toiture</v>
      </c>
      <c r="B28" s="33" t="s">
        <v>70</v>
      </c>
      <c r="C28" s="21">
        <v>26</v>
      </c>
      <c r="D28" s="33" t="s">
        <v>70</v>
      </c>
      <c r="E28" s="33">
        <v>62</v>
      </c>
      <c r="F28" s="31" t="s">
        <v>138</v>
      </c>
      <c r="G28" s="34" t="s">
        <v>59</v>
      </c>
      <c r="H28" s="33" t="s">
        <v>71</v>
      </c>
      <c r="I28" s="33" t="s">
        <v>61</v>
      </c>
      <c r="J28" s="33" t="s">
        <v>62</v>
      </c>
      <c r="K28" s="33" t="s">
        <v>66</v>
      </c>
      <c r="L28" s="33" t="s">
        <v>64</v>
      </c>
      <c r="M28" s="33"/>
      <c r="N28" s="33"/>
      <c r="O28" s="33"/>
      <c r="P28" s="33"/>
      <c r="Q28" s="33" t="s">
        <v>17</v>
      </c>
      <c r="R28" s="33" t="s">
        <v>18</v>
      </c>
      <c r="S28" s="33" t="s">
        <v>5</v>
      </c>
      <c r="T28" s="33" t="s">
        <v>69</v>
      </c>
    </row>
    <row r="29" spans="1:20" x14ac:dyDescent="0.35">
      <c r="A29" s="21" t="str">
        <f>E29&amp;"_"&amp;COUNTIF(E$3:$E29,E29)&amp;"_"&amp;F29</f>
        <v>62_5_Panneaux_bois_massif_placage_int_toiture</v>
      </c>
      <c r="B29" s="31" t="s">
        <v>72</v>
      </c>
      <c r="C29" s="21">
        <v>27</v>
      </c>
      <c r="D29" s="31" t="s">
        <v>72</v>
      </c>
      <c r="E29" s="31">
        <v>62</v>
      </c>
      <c r="F29" s="31" t="s">
        <v>138</v>
      </c>
      <c r="G29" s="32" t="s">
        <v>59</v>
      </c>
      <c r="H29" s="31" t="s">
        <v>60</v>
      </c>
      <c r="I29" s="31" t="s">
        <v>61</v>
      </c>
      <c r="J29" s="31" t="s">
        <v>62</v>
      </c>
      <c r="K29" s="31" t="s">
        <v>63</v>
      </c>
      <c r="L29" s="31" t="s">
        <v>64</v>
      </c>
      <c r="M29" s="31"/>
      <c r="N29" s="31"/>
      <c r="O29" s="31"/>
      <c r="P29" s="31"/>
      <c r="Q29" s="31" t="s">
        <v>17</v>
      </c>
      <c r="R29" s="31" t="s">
        <v>6</v>
      </c>
      <c r="S29" s="31" t="s">
        <v>5</v>
      </c>
      <c r="T29" s="31" t="s">
        <v>68</v>
      </c>
    </row>
    <row r="30" spans="1:20" x14ac:dyDescent="0.35">
      <c r="A30" s="21" t="str">
        <f>E30&amp;"_"&amp;COUNTIF(E$3:$E30,E30)&amp;"_"&amp;F30</f>
        <v>62_6_Panneaux_bois_massif_placage_int_toiture</v>
      </c>
      <c r="B30" s="31" t="s">
        <v>72</v>
      </c>
      <c r="C30" s="21">
        <v>28</v>
      </c>
      <c r="D30" s="31" t="s">
        <v>72</v>
      </c>
      <c r="E30" s="31">
        <v>62</v>
      </c>
      <c r="F30" s="31" t="s">
        <v>138</v>
      </c>
      <c r="G30" s="32" t="s">
        <v>59</v>
      </c>
      <c r="H30" s="31" t="s">
        <v>60</v>
      </c>
      <c r="I30" s="31" t="s">
        <v>61</v>
      </c>
      <c r="J30" s="31" t="s">
        <v>62</v>
      </c>
      <c r="K30" s="31" t="s">
        <v>63</v>
      </c>
      <c r="L30" s="31" t="s">
        <v>64</v>
      </c>
      <c r="M30" s="31"/>
      <c r="N30" s="31"/>
      <c r="O30" s="31"/>
      <c r="P30" s="31"/>
      <c r="Q30" s="31" t="s">
        <v>17</v>
      </c>
      <c r="R30" s="31" t="s">
        <v>6</v>
      </c>
      <c r="S30" s="31" t="s">
        <v>5</v>
      </c>
      <c r="T30" s="31" t="s">
        <v>69</v>
      </c>
    </row>
    <row r="31" spans="1:20" x14ac:dyDescent="0.35">
      <c r="A31" s="21" t="str">
        <f>E31&amp;"_"&amp;COUNTIF(E$3:$E31,E31)&amp;"_"&amp;F31</f>
        <v>62_7_Panneaux_bois_massif_placage_int_toiture</v>
      </c>
      <c r="B31" s="33" t="s">
        <v>73</v>
      </c>
      <c r="C31" s="21">
        <v>29</v>
      </c>
      <c r="D31" s="33" t="s">
        <v>73</v>
      </c>
      <c r="E31" s="33">
        <v>62</v>
      </c>
      <c r="F31" s="31" t="s">
        <v>138</v>
      </c>
      <c r="G31" s="34" t="s">
        <v>59</v>
      </c>
      <c r="H31" s="33" t="s">
        <v>71</v>
      </c>
      <c r="I31" s="33" t="s">
        <v>61</v>
      </c>
      <c r="J31" s="33" t="s">
        <v>62</v>
      </c>
      <c r="K31" s="33" t="s">
        <v>63</v>
      </c>
      <c r="L31" s="33" t="s">
        <v>64</v>
      </c>
      <c r="M31" s="33"/>
      <c r="N31" s="33"/>
      <c r="O31" s="33"/>
      <c r="P31" s="33"/>
      <c r="Q31" s="33" t="s">
        <v>17</v>
      </c>
      <c r="R31" s="33" t="s">
        <v>18</v>
      </c>
      <c r="S31" s="33" t="s">
        <v>5</v>
      </c>
      <c r="T31" s="33" t="s">
        <v>74</v>
      </c>
    </row>
    <row r="32" spans="1:20" x14ac:dyDescent="0.35">
      <c r="A32" s="21" t="str">
        <f>E32&amp;"_"&amp;COUNTIF(E$3:$E32,E32)&amp;"_"&amp;F32</f>
        <v>62_8_Panneaux_bois_massif_placage_int_toiture</v>
      </c>
      <c r="B32" s="33" t="s">
        <v>73</v>
      </c>
      <c r="C32" s="21">
        <v>30</v>
      </c>
      <c r="D32" s="33" t="s">
        <v>73</v>
      </c>
      <c r="E32" s="33">
        <v>62</v>
      </c>
      <c r="F32" s="31" t="s">
        <v>138</v>
      </c>
      <c r="G32" s="34" t="s">
        <v>59</v>
      </c>
      <c r="H32" s="33" t="s">
        <v>71</v>
      </c>
      <c r="I32" s="33" t="s">
        <v>61</v>
      </c>
      <c r="J32" s="33" t="s">
        <v>62</v>
      </c>
      <c r="K32" s="33" t="s">
        <v>63</v>
      </c>
      <c r="L32" s="33" t="s">
        <v>64</v>
      </c>
      <c r="M32" s="33"/>
      <c r="N32" s="33"/>
      <c r="O32" s="33"/>
      <c r="P32" s="33"/>
      <c r="Q32" s="33" t="s">
        <v>17</v>
      </c>
      <c r="R32" s="33" t="s">
        <v>18</v>
      </c>
      <c r="S32" s="33" t="s">
        <v>5</v>
      </c>
      <c r="T32" s="33" t="s">
        <v>75</v>
      </c>
    </row>
    <row r="33" spans="1:20" x14ac:dyDescent="0.35">
      <c r="A33" s="21" t="str">
        <f>E33&amp;"_"&amp;COUNTIF(E$3:$E33,E33)&amp;"_"&amp;F33</f>
        <v>64_1_Panneaux_bois_massif_placage_int_toiture</v>
      </c>
      <c r="B33" s="31" t="s">
        <v>76</v>
      </c>
      <c r="C33" s="21">
        <v>31</v>
      </c>
      <c r="D33" s="31" t="s">
        <v>76</v>
      </c>
      <c r="E33" s="31">
        <v>64</v>
      </c>
      <c r="F33" s="31" t="s">
        <v>138</v>
      </c>
      <c r="G33" s="32" t="s">
        <v>59</v>
      </c>
      <c r="H33" s="31" t="s">
        <v>60</v>
      </c>
      <c r="I33" s="31" t="s">
        <v>61</v>
      </c>
      <c r="J33" s="31" t="s">
        <v>62</v>
      </c>
      <c r="K33" s="31" t="s">
        <v>66</v>
      </c>
      <c r="L33" s="31" t="s">
        <v>64</v>
      </c>
      <c r="M33" s="31"/>
      <c r="N33" s="31"/>
      <c r="O33" s="31"/>
      <c r="P33" s="31"/>
      <c r="Q33" s="31" t="s">
        <v>17</v>
      </c>
      <c r="R33" s="31" t="s">
        <v>18</v>
      </c>
      <c r="S33" s="31" t="s">
        <v>5</v>
      </c>
      <c r="T33" s="31" t="s">
        <v>74</v>
      </c>
    </row>
    <row r="34" spans="1:20" x14ac:dyDescent="0.35">
      <c r="A34" s="21" t="str">
        <f>E34&amp;"_"&amp;COUNTIF(E$3:$E34,E34)&amp;"_"&amp;F34</f>
        <v>64_2_Panneaux_bois_massif_placage_int_toiture</v>
      </c>
      <c r="B34" s="31" t="s">
        <v>76</v>
      </c>
      <c r="C34" s="21">
        <v>32</v>
      </c>
      <c r="D34" s="31" t="s">
        <v>76</v>
      </c>
      <c r="E34" s="31">
        <v>64</v>
      </c>
      <c r="F34" s="31" t="s">
        <v>138</v>
      </c>
      <c r="G34" s="32" t="s">
        <v>59</v>
      </c>
      <c r="H34" s="31" t="s">
        <v>60</v>
      </c>
      <c r="I34" s="31" t="s">
        <v>61</v>
      </c>
      <c r="J34" s="31" t="s">
        <v>62</v>
      </c>
      <c r="K34" s="31" t="s">
        <v>66</v>
      </c>
      <c r="L34" s="31" t="s">
        <v>64</v>
      </c>
      <c r="M34" s="31"/>
      <c r="N34" s="31"/>
      <c r="O34" s="31"/>
      <c r="P34" s="31"/>
      <c r="Q34" s="31" t="s">
        <v>17</v>
      </c>
      <c r="R34" s="31" t="s">
        <v>18</v>
      </c>
      <c r="S34" s="31" t="s">
        <v>5</v>
      </c>
      <c r="T34" s="31" t="s">
        <v>75</v>
      </c>
    </row>
    <row r="35" spans="1:20" x14ac:dyDescent="0.35">
      <c r="A35" s="21" t="str">
        <f>E35&amp;"_"&amp;COUNTIF(E$3:$E35,E35)&amp;"_"&amp;F35</f>
        <v>64_3_Panneaux_bois_massif_placage_int_toiture</v>
      </c>
      <c r="B35" s="33" t="s">
        <v>77</v>
      </c>
      <c r="C35" s="21">
        <v>33</v>
      </c>
      <c r="D35" s="33" t="s">
        <v>77</v>
      </c>
      <c r="E35" s="33">
        <v>64</v>
      </c>
      <c r="F35" s="31" t="s">
        <v>138</v>
      </c>
      <c r="G35" s="34" t="s">
        <v>59</v>
      </c>
      <c r="H35" s="33" t="s">
        <v>71</v>
      </c>
      <c r="I35" s="33" t="s">
        <v>61</v>
      </c>
      <c r="J35" s="33" t="s">
        <v>62</v>
      </c>
      <c r="K35" s="33" t="s">
        <v>66</v>
      </c>
      <c r="L35" s="33" t="s">
        <v>64</v>
      </c>
      <c r="M35" s="33"/>
      <c r="N35" s="33"/>
      <c r="O35" s="33"/>
      <c r="P35" s="33"/>
      <c r="Q35" s="33" t="s">
        <v>17</v>
      </c>
      <c r="R35" s="33" t="s">
        <v>6</v>
      </c>
      <c r="S35" s="33" t="s">
        <v>5</v>
      </c>
      <c r="T35" s="33" t="s">
        <v>68</v>
      </c>
    </row>
    <row r="36" spans="1:20" x14ac:dyDescent="0.35">
      <c r="A36" s="21" t="str">
        <f>E36&amp;"_"&amp;COUNTIF(E$3:$E36,E36)&amp;"_"&amp;F36</f>
        <v>64_4_Panneaux_bois_massif_placage_int_toiture</v>
      </c>
      <c r="B36" s="33" t="s">
        <v>77</v>
      </c>
      <c r="C36" s="21">
        <v>34</v>
      </c>
      <c r="D36" s="33" t="s">
        <v>77</v>
      </c>
      <c r="E36" s="33">
        <v>64</v>
      </c>
      <c r="F36" s="31" t="s">
        <v>138</v>
      </c>
      <c r="G36" s="34" t="s">
        <v>59</v>
      </c>
      <c r="H36" s="33" t="s">
        <v>71</v>
      </c>
      <c r="I36" s="33" t="s">
        <v>61</v>
      </c>
      <c r="J36" s="33" t="s">
        <v>62</v>
      </c>
      <c r="K36" s="33" t="s">
        <v>66</v>
      </c>
      <c r="L36" s="33" t="s">
        <v>64</v>
      </c>
      <c r="M36" s="33"/>
      <c r="N36" s="33"/>
      <c r="O36" s="33"/>
      <c r="P36" s="33"/>
      <c r="Q36" s="33" t="s">
        <v>17</v>
      </c>
      <c r="R36" s="33" t="s">
        <v>6</v>
      </c>
      <c r="S36" s="33" t="s">
        <v>5</v>
      </c>
      <c r="T36" s="33" t="s">
        <v>69</v>
      </c>
    </row>
    <row r="37" spans="1:20" x14ac:dyDescent="0.35">
      <c r="A37" s="21" t="str">
        <f>E37&amp;"_"&amp;COUNTIF(E$3:$E37,E37)&amp;"_"&amp;F37</f>
        <v>66_1_Panneaux_bois_massif_placage_int_toiture</v>
      </c>
      <c r="B37" s="31" t="s">
        <v>78</v>
      </c>
      <c r="C37" s="21">
        <v>35</v>
      </c>
      <c r="D37" s="31" t="s">
        <v>78</v>
      </c>
      <c r="E37" s="31">
        <v>66</v>
      </c>
      <c r="F37" s="31" t="s">
        <v>138</v>
      </c>
      <c r="G37" s="32" t="s">
        <v>59</v>
      </c>
      <c r="H37" s="31" t="s">
        <v>60</v>
      </c>
      <c r="I37" s="31" t="s">
        <v>61</v>
      </c>
      <c r="J37" s="31" t="s">
        <v>62</v>
      </c>
      <c r="K37" s="31" t="s">
        <v>63</v>
      </c>
      <c r="L37" s="31" t="s">
        <v>64</v>
      </c>
      <c r="M37" s="31"/>
      <c r="N37" s="31"/>
      <c r="O37" s="31"/>
      <c r="P37" s="31"/>
      <c r="Q37" s="31" t="s">
        <v>17</v>
      </c>
      <c r="R37" s="31" t="s">
        <v>6</v>
      </c>
      <c r="S37" s="31" t="s">
        <v>5</v>
      </c>
      <c r="T37" s="31" t="s">
        <v>74</v>
      </c>
    </row>
    <row r="38" spans="1:20" x14ac:dyDescent="0.35">
      <c r="A38" s="21" t="str">
        <f>E38&amp;"_"&amp;COUNTIF(E$3:$E38,E38)&amp;"_"&amp;F38</f>
        <v>66_2_Panneaux_bois_massif_placage_int_toiture</v>
      </c>
      <c r="B38" s="31" t="s">
        <v>78</v>
      </c>
      <c r="C38" s="21">
        <v>36</v>
      </c>
      <c r="D38" s="31" t="s">
        <v>78</v>
      </c>
      <c r="E38" s="31">
        <v>66</v>
      </c>
      <c r="F38" s="31" t="s">
        <v>138</v>
      </c>
      <c r="G38" s="32" t="s">
        <v>59</v>
      </c>
      <c r="H38" s="31" t="s">
        <v>60</v>
      </c>
      <c r="I38" s="31" t="s">
        <v>61</v>
      </c>
      <c r="J38" s="31" t="s">
        <v>62</v>
      </c>
      <c r="K38" s="31" t="s">
        <v>63</v>
      </c>
      <c r="L38" s="31" t="s">
        <v>64</v>
      </c>
      <c r="M38" s="31"/>
      <c r="N38" s="31"/>
      <c r="O38" s="31"/>
      <c r="P38" s="31"/>
      <c r="Q38" s="31" t="s">
        <v>17</v>
      </c>
      <c r="R38" s="31" t="s">
        <v>6</v>
      </c>
      <c r="S38" s="31" t="s">
        <v>5</v>
      </c>
      <c r="T38" s="31" t="s">
        <v>75</v>
      </c>
    </row>
    <row r="39" spans="1:20" x14ac:dyDescent="0.35">
      <c r="A39" s="21" t="str">
        <f>E39&amp;"_"&amp;COUNTIF(E$3:$E39,E39)&amp;"_"&amp;F39</f>
        <v>66_3_Panneaux_bois_massif_placage_int_toiture</v>
      </c>
      <c r="B39" s="33" t="s">
        <v>79</v>
      </c>
      <c r="C39" s="21">
        <v>37</v>
      </c>
      <c r="D39" s="33" t="s">
        <v>79</v>
      </c>
      <c r="E39" s="33">
        <v>66</v>
      </c>
      <c r="F39" s="31" t="s">
        <v>138</v>
      </c>
      <c r="G39" s="34" t="s">
        <v>59</v>
      </c>
      <c r="H39" s="33" t="s">
        <v>71</v>
      </c>
      <c r="I39" s="33" t="s">
        <v>61</v>
      </c>
      <c r="J39" s="33" t="s">
        <v>62</v>
      </c>
      <c r="K39" s="33" t="s">
        <v>66</v>
      </c>
      <c r="L39" s="33" t="s">
        <v>64</v>
      </c>
      <c r="M39" s="33"/>
      <c r="N39" s="33"/>
      <c r="O39" s="33"/>
      <c r="P39" s="33"/>
      <c r="Q39" s="33" t="s">
        <v>17</v>
      </c>
      <c r="R39" s="33" t="s">
        <v>6</v>
      </c>
      <c r="S39" s="33" t="s">
        <v>5</v>
      </c>
      <c r="T39" s="33" t="s">
        <v>74</v>
      </c>
    </row>
    <row r="40" spans="1:20" x14ac:dyDescent="0.35">
      <c r="A40" s="21" t="str">
        <f>E40&amp;"_"&amp;COUNTIF(E$3:$E40,E40)&amp;"_"&amp;F40</f>
        <v>66_4_Panneaux_bois_massif_placage_int_toiture</v>
      </c>
      <c r="B40" s="33" t="s">
        <v>79</v>
      </c>
      <c r="C40" s="21">
        <v>38</v>
      </c>
      <c r="D40" s="33" t="s">
        <v>79</v>
      </c>
      <c r="E40" s="33">
        <v>66</v>
      </c>
      <c r="F40" s="31" t="s">
        <v>138</v>
      </c>
      <c r="G40" s="34" t="s">
        <v>59</v>
      </c>
      <c r="H40" s="33" t="s">
        <v>71</v>
      </c>
      <c r="I40" s="33" t="s">
        <v>61</v>
      </c>
      <c r="J40" s="33" t="s">
        <v>62</v>
      </c>
      <c r="K40" s="33" t="s">
        <v>66</v>
      </c>
      <c r="L40" s="33" t="s">
        <v>64</v>
      </c>
      <c r="M40" s="33"/>
      <c r="N40" s="33"/>
      <c r="O40" s="33"/>
      <c r="P40" s="33"/>
      <c r="Q40" s="33" t="s">
        <v>17</v>
      </c>
      <c r="R40" s="33" t="s">
        <v>6</v>
      </c>
      <c r="S40" s="33" t="s">
        <v>5</v>
      </c>
      <c r="T40" s="33" t="s">
        <v>75</v>
      </c>
    </row>
    <row r="41" spans="1:20" x14ac:dyDescent="0.35">
      <c r="A41" s="21" t="str">
        <f>E41&amp;"_"&amp;COUNTIF(E$3:$E41,E41)&amp;"_"&amp;F41</f>
        <v>52_1_Panneaux_bois_massif_placage_int_toiture</v>
      </c>
      <c r="B41" s="31" t="s">
        <v>80</v>
      </c>
      <c r="C41" s="21">
        <v>39</v>
      </c>
      <c r="D41" s="31" t="s">
        <v>80</v>
      </c>
      <c r="E41" s="31">
        <v>52</v>
      </c>
      <c r="F41" s="31" t="s">
        <v>138</v>
      </c>
      <c r="G41" s="32" t="s">
        <v>59</v>
      </c>
      <c r="H41" s="31" t="s">
        <v>60</v>
      </c>
      <c r="I41" s="31" t="s">
        <v>61</v>
      </c>
      <c r="J41" s="31" t="s">
        <v>81</v>
      </c>
      <c r="K41" s="31" t="s">
        <v>82</v>
      </c>
      <c r="L41" s="31" t="s">
        <v>64</v>
      </c>
      <c r="M41" s="31"/>
      <c r="N41" s="31"/>
      <c r="O41" s="31"/>
      <c r="P41" s="31"/>
      <c r="Q41" s="31" t="s">
        <v>17</v>
      </c>
      <c r="R41" s="31"/>
      <c r="S41" s="31"/>
      <c r="T41" s="31"/>
    </row>
    <row r="42" spans="1:20" x14ac:dyDescent="0.35">
      <c r="A42" s="21" t="str">
        <f>E42&amp;"_"&amp;COUNTIF(E$3:$E42,E42)&amp;"_"&amp;F42</f>
        <v>52_2_Panneaux_bois_massif_placage_int_toiture</v>
      </c>
      <c r="B42" s="33" t="s">
        <v>83</v>
      </c>
      <c r="C42" s="21">
        <v>40</v>
      </c>
      <c r="D42" s="33" t="s">
        <v>83</v>
      </c>
      <c r="E42" s="33">
        <v>52</v>
      </c>
      <c r="F42" s="31" t="s">
        <v>138</v>
      </c>
      <c r="G42" s="34" t="s">
        <v>59</v>
      </c>
      <c r="H42" s="33" t="s">
        <v>60</v>
      </c>
      <c r="I42" s="33" t="s">
        <v>61</v>
      </c>
      <c r="J42" s="33" t="s">
        <v>81</v>
      </c>
      <c r="K42" s="33" t="s">
        <v>84</v>
      </c>
      <c r="L42" s="33" t="s">
        <v>64</v>
      </c>
      <c r="M42" s="33"/>
      <c r="N42" s="33"/>
      <c r="O42" s="33"/>
      <c r="P42" s="33"/>
      <c r="Q42" s="33" t="s">
        <v>17</v>
      </c>
      <c r="R42" s="33"/>
      <c r="S42" s="33"/>
      <c r="T42" s="33"/>
    </row>
    <row r="43" spans="1:20" x14ac:dyDescent="0.35">
      <c r="A43" s="21" t="str">
        <f>E43&amp;"_"&amp;COUNTIF(E$3:$E43,E43)&amp;"_"&amp;F43</f>
        <v>59_1_Panneaux_bois_massif_placage_int_toiture</v>
      </c>
      <c r="B43" s="35" t="s">
        <v>85</v>
      </c>
      <c r="C43" s="21">
        <v>41</v>
      </c>
      <c r="D43" s="35" t="s">
        <v>85</v>
      </c>
      <c r="E43" s="35">
        <v>59</v>
      </c>
      <c r="F43" s="31" t="s">
        <v>138</v>
      </c>
      <c r="G43" s="35" t="s">
        <v>59</v>
      </c>
      <c r="H43" s="35" t="s">
        <v>60</v>
      </c>
      <c r="I43" s="35" t="s">
        <v>61</v>
      </c>
      <c r="J43" s="35" t="s">
        <v>81</v>
      </c>
      <c r="K43" s="35" t="s">
        <v>82</v>
      </c>
      <c r="L43" s="35" t="s">
        <v>64</v>
      </c>
      <c r="M43" s="35"/>
      <c r="N43" s="35"/>
      <c r="O43" s="35"/>
      <c r="P43" s="35"/>
      <c r="Q43" s="35" t="s">
        <v>17</v>
      </c>
      <c r="R43" s="35" t="s">
        <v>86</v>
      </c>
      <c r="S43" s="35" t="s">
        <v>5</v>
      </c>
      <c r="T43" s="35" t="s">
        <v>68</v>
      </c>
    </row>
    <row r="44" spans="1:20" x14ac:dyDescent="0.35">
      <c r="A44" s="21" t="str">
        <f>E44&amp;"_"&amp;COUNTIF(E$3:$E44,E44)&amp;"_"&amp;F44</f>
        <v>59_2_Panneaux_bois_massif_placage_int_toiture</v>
      </c>
      <c r="B44" s="35" t="s">
        <v>85</v>
      </c>
      <c r="C44" s="21">
        <v>42</v>
      </c>
      <c r="D44" s="35" t="s">
        <v>85</v>
      </c>
      <c r="E44" s="35">
        <v>59</v>
      </c>
      <c r="F44" s="31" t="s">
        <v>138</v>
      </c>
      <c r="G44" s="35" t="s">
        <v>59</v>
      </c>
      <c r="H44" s="35" t="s">
        <v>60</v>
      </c>
      <c r="I44" s="35" t="s">
        <v>61</v>
      </c>
      <c r="J44" s="35" t="s">
        <v>81</v>
      </c>
      <c r="K44" s="35" t="s">
        <v>82</v>
      </c>
      <c r="L44" s="35" t="s">
        <v>64</v>
      </c>
      <c r="M44" s="35"/>
      <c r="N44" s="35"/>
      <c r="O44" s="35"/>
      <c r="P44" s="35"/>
      <c r="Q44" s="35" t="s">
        <v>17</v>
      </c>
      <c r="R44" s="35" t="s">
        <v>86</v>
      </c>
      <c r="S44" s="35" t="s">
        <v>5</v>
      </c>
      <c r="T44" s="35" t="s">
        <v>69</v>
      </c>
    </row>
    <row r="45" spans="1:20" x14ac:dyDescent="0.35">
      <c r="A45" s="21" t="str">
        <f>E45&amp;"_"&amp;COUNTIF(E$3:$E45,E45)&amp;"_"&amp;F45</f>
        <v>59_3_Panneaux_bois_massif_placage_int_toiture</v>
      </c>
      <c r="B45" s="36" t="s">
        <v>87</v>
      </c>
      <c r="C45" s="21">
        <v>43</v>
      </c>
      <c r="D45" s="36" t="s">
        <v>87</v>
      </c>
      <c r="E45" s="37">
        <v>59</v>
      </c>
      <c r="F45" s="31" t="s">
        <v>138</v>
      </c>
      <c r="G45" s="36" t="s">
        <v>59</v>
      </c>
      <c r="H45" s="36" t="s">
        <v>60</v>
      </c>
      <c r="I45" s="36" t="s">
        <v>61</v>
      </c>
      <c r="J45" s="36" t="s">
        <v>81</v>
      </c>
      <c r="K45" s="33" t="s">
        <v>84</v>
      </c>
      <c r="L45" s="33" t="s">
        <v>64</v>
      </c>
      <c r="M45" s="33"/>
      <c r="N45" s="33"/>
      <c r="O45" s="33"/>
      <c r="P45" s="33"/>
      <c r="Q45" s="33" t="s">
        <v>17</v>
      </c>
      <c r="R45" s="36" t="s">
        <v>18</v>
      </c>
      <c r="S45" s="36" t="s">
        <v>5</v>
      </c>
      <c r="T45" s="36" t="s">
        <v>68</v>
      </c>
    </row>
    <row r="46" spans="1:20" x14ac:dyDescent="0.35">
      <c r="A46" s="21" t="str">
        <f>E46&amp;"_"&amp;COUNTIF(E$3:$E46,E46)&amp;"_"&amp;F46</f>
        <v>59_4_Panneaux_bois_massif_placage_int_toiture</v>
      </c>
      <c r="B46" s="36" t="s">
        <v>87</v>
      </c>
      <c r="C46" s="21">
        <v>44</v>
      </c>
      <c r="D46" s="36" t="s">
        <v>87</v>
      </c>
      <c r="E46" s="37">
        <v>59</v>
      </c>
      <c r="F46" s="31" t="s">
        <v>138</v>
      </c>
      <c r="G46" s="36" t="s">
        <v>59</v>
      </c>
      <c r="H46" s="36" t="s">
        <v>60</v>
      </c>
      <c r="I46" s="36" t="s">
        <v>61</v>
      </c>
      <c r="J46" s="36" t="s">
        <v>81</v>
      </c>
      <c r="K46" s="33" t="s">
        <v>84</v>
      </c>
      <c r="L46" s="33" t="s">
        <v>64</v>
      </c>
      <c r="M46" s="33"/>
      <c r="N46" s="33"/>
      <c r="O46" s="33"/>
      <c r="P46" s="33"/>
      <c r="Q46" s="33" t="s">
        <v>17</v>
      </c>
      <c r="R46" s="36" t="s">
        <v>18</v>
      </c>
      <c r="S46" s="36" t="s">
        <v>5</v>
      </c>
      <c r="T46" s="36" t="s">
        <v>69</v>
      </c>
    </row>
    <row r="47" spans="1:20" x14ac:dyDescent="0.35">
      <c r="A47" s="21" t="str">
        <f>E47&amp;"_"&amp;COUNTIF(E$3:$E47,E47)&amp;"_"&amp;F47</f>
        <v>59_5_Panneaux_bois_massif_placage_int_toiture</v>
      </c>
      <c r="B47" s="35" t="s">
        <v>88</v>
      </c>
      <c r="C47" s="21">
        <v>45</v>
      </c>
      <c r="D47" s="35" t="s">
        <v>88</v>
      </c>
      <c r="E47" s="38">
        <v>59</v>
      </c>
      <c r="F47" s="31" t="s">
        <v>138</v>
      </c>
      <c r="G47" s="35" t="s">
        <v>59</v>
      </c>
      <c r="H47" s="35" t="s">
        <v>60</v>
      </c>
      <c r="I47" s="35" t="s">
        <v>61</v>
      </c>
      <c r="J47" s="35" t="s">
        <v>81</v>
      </c>
      <c r="K47" s="35" t="s">
        <v>82</v>
      </c>
      <c r="L47" s="35" t="s">
        <v>64</v>
      </c>
      <c r="M47" s="31"/>
      <c r="N47" s="31"/>
      <c r="O47" s="31"/>
      <c r="P47" s="31"/>
      <c r="Q47" s="35" t="s">
        <v>17</v>
      </c>
      <c r="R47" s="35" t="s">
        <v>18</v>
      </c>
      <c r="S47" s="35" t="s">
        <v>5</v>
      </c>
      <c r="T47" s="35" t="s">
        <v>74</v>
      </c>
    </row>
    <row r="48" spans="1:20" x14ac:dyDescent="0.35">
      <c r="A48" s="21" t="str">
        <f>E48&amp;"_"&amp;COUNTIF(E$3:$E48,E48)&amp;"_"&amp;F48</f>
        <v>59_6_Panneaux_bois_massif_placage_int_toiture</v>
      </c>
      <c r="B48" s="35" t="s">
        <v>88</v>
      </c>
      <c r="C48" s="21">
        <v>46</v>
      </c>
      <c r="D48" s="35" t="s">
        <v>88</v>
      </c>
      <c r="E48" s="38">
        <v>59</v>
      </c>
      <c r="F48" s="31" t="s">
        <v>138</v>
      </c>
      <c r="G48" s="35" t="s">
        <v>59</v>
      </c>
      <c r="H48" s="35" t="s">
        <v>60</v>
      </c>
      <c r="I48" s="35" t="s">
        <v>61</v>
      </c>
      <c r="J48" s="35" t="s">
        <v>81</v>
      </c>
      <c r="K48" s="35" t="s">
        <v>82</v>
      </c>
      <c r="L48" s="35" t="s">
        <v>64</v>
      </c>
      <c r="M48" s="31"/>
      <c r="N48" s="31"/>
      <c r="O48" s="31"/>
      <c r="P48" s="31"/>
      <c r="Q48" s="35" t="s">
        <v>17</v>
      </c>
      <c r="R48" s="35" t="s">
        <v>18</v>
      </c>
      <c r="S48" s="35" t="s">
        <v>5</v>
      </c>
      <c r="T48" s="35" t="s">
        <v>75</v>
      </c>
    </row>
    <row r="49" spans="1:20" x14ac:dyDescent="0.35">
      <c r="A49" s="21" t="str">
        <f>E49&amp;"_"&amp;COUNTIF(E$3:$E49,E49)&amp;"_"&amp;F49</f>
        <v>59_7_Panneaux_bois_massif_placage_int_toiture</v>
      </c>
      <c r="B49" s="36" t="s">
        <v>89</v>
      </c>
      <c r="C49" s="21">
        <v>47</v>
      </c>
      <c r="D49" s="36" t="s">
        <v>89</v>
      </c>
      <c r="E49" s="37">
        <v>59</v>
      </c>
      <c r="F49" s="31" t="s">
        <v>138</v>
      </c>
      <c r="G49" s="36" t="s">
        <v>59</v>
      </c>
      <c r="H49" s="36" t="s">
        <v>60</v>
      </c>
      <c r="I49" s="36" t="s">
        <v>61</v>
      </c>
      <c r="J49" s="36" t="s">
        <v>81</v>
      </c>
      <c r="K49" s="33" t="s">
        <v>84</v>
      </c>
      <c r="L49" s="33" t="s">
        <v>64</v>
      </c>
      <c r="M49" s="33"/>
      <c r="N49" s="33"/>
      <c r="O49" s="33"/>
      <c r="P49" s="33"/>
      <c r="Q49" s="33" t="s">
        <v>17</v>
      </c>
      <c r="R49" s="36" t="s">
        <v>18</v>
      </c>
      <c r="S49" s="36" t="s">
        <v>5</v>
      </c>
      <c r="T49" s="36" t="s">
        <v>74</v>
      </c>
    </row>
    <row r="50" spans="1:20" x14ac:dyDescent="0.35">
      <c r="A50" s="21" t="str">
        <f>E50&amp;"_"&amp;COUNTIF(E$3:$E50,E50)&amp;"_"&amp;F50</f>
        <v>59_8_Panneaux_bois_massif_placage_int_toiture</v>
      </c>
      <c r="B50" s="36" t="s">
        <v>89</v>
      </c>
      <c r="C50" s="21">
        <v>48</v>
      </c>
      <c r="D50" s="36" t="s">
        <v>89</v>
      </c>
      <c r="E50" s="37">
        <v>59</v>
      </c>
      <c r="F50" s="31" t="s">
        <v>138</v>
      </c>
      <c r="G50" s="36" t="s">
        <v>59</v>
      </c>
      <c r="H50" s="36" t="s">
        <v>60</v>
      </c>
      <c r="I50" s="36" t="s">
        <v>61</v>
      </c>
      <c r="J50" s="36" t="s">
        <v>81</v>
      </c>
      <c r="K50" s="33" t="s">
        <v>84</v>
      </c>
      <c r="L50" s="33" t="s">
        <v>64</v>
      </c>
      <c r="M50" s="33"/>
      <c r="N50" s="33"/>
      <c r="O50" s="33"/>
      <c r="P50" s="33"/>
      <c r="Q50" s="33" t="s">
        <v>17</v>
      </c>
      <c r="R50" s="36" t="s">
        <v>18</v>
      </c>
      <c r="S50" s="36" t="s">
        <v>5</v>
      </c>
      <c r="T50" s="36" t="s">
        <v>75</v>
      </c>
    </row>
    <row r="51" spans="1:20" x14ac:dyDescent="0.35">
      <c r="A51" s="21" t="str">
        <f>E51&amp;"_"&amp;COUNTIF(E$3:$E51,E51)&amp;"_"&amp;F51</f>
        <v>61_1_Panneaux_bois_massif_placage_int_toiture</v>
      </c>
      <c r="B51" s="35" t="s">
        <v>90</v>
      </c>
      <c r="C51" s="21">
        <v>49</v>
      </c>
      <c r="D51" s="35" t="s">
        <v>90</v>
      </c>
      <c r="E51" s="38">
        <v>61</v>
      </c>
      <c r="F51" s="31" t="s">
        <v>138</v>
      </c>
      <c r="G51" s="35" t="s">
        <v>59</v>
      </c>
      <c r="H51" s="35" t="s">
        <v>60</v>
      </c>
      <c r="I51" s="35" t="s">
        <v>61</v>
      </c>
      <c r="J51" s="35" t="s">
        <v>81</v>
      </c>
      <c r="K51" s="35" t="s">
        <v>82</v>
      </c>
      <c r="L51" s="35" t="s">
        <v>64</v>
      </c>
      <c r="M51" s="31"/>
      <c r="N51" s="31"/>
      <c r="O51" s="31"/>
      <c r="P51" s="31"/>
      <c r="Q51" s="35" t="s">
        <v>17</v>
      </c>
      <c r="R51" s="35" t="s">
        <v>86</v>
      </c>
      <c r="S51" s="35" t="s">
        <v>5</v>
      </c>
      <c r="T51" s="35" t="s">
        <v>68</v>
      </c>
    </row>
    <row r="52" spans="1:20" x14ac:dyDescent="0.35">
      <c r="A52" s="21" t="str">
        <f>E52&amp;"_"&amp;COUNTIF(E$3:$E52,E52)&amp;"_"&amp;F52</f>
        <v>61_2_Panneaux_bois_massif_placage_int_toiture</v>
      </c>
      <c r="B52" s="35" t="s">
        <v>90</v>
      </c>
      <c r="C52" s="21">
        <v>50</v>
      </c>
      <c r="D52" s="35" t="s">
        <v>90</v>
      </c>
      <c r="E52" s="38">
        <v>61</v>
      </c>
      <c r="F52" s="31" t="s">
        <v>138</v>
      </c>
      <c r="G52" s="35" t="s">
        <v>59</v>
      </c>
      <c r="H52" s="35" t="s">
        <v>60</v>
      </c>
      <c r="I52" s="35" t="s">
        <v>61</v>
      </c>
      <c r="J52" s="35" t="s">
        <v>81</v>
      </c>
      <c r="K52" s="35" t="s">
        <v>82</v>
      </c>
      <c r="L52" s="35" t="s">
        <v>64</v>
      </c>
      <c r="M52" s="31"/>
      <c r="N52" s="31"/>
      <c r="O52" s="31"/>
      <c r="P52" s="31"/>
      <c r="Q52" s="35" t="s">
        <v>17</v>
      </c>
      <c r="R52" s="35" t="s">
        <v>86</v>
      </c>
      <c r="S52" s="35" t="s">
        <v>5</v>
      </c>
      <c r="T52" s="35" t="s">
        <v>69</v>
      </c>
    </row>
    <row r="53" spans="1:20" x14ac:dyDescent="0.35">
      <c r="A53" s="21" t="str">
        <f>E53&amp;"_"&amp;COUNTIF(E$3:$E53,E53)&amp;"_"&amp;F53</f>
        <v>61_3_Panneaux_bois_massif_placage_int_toiture</v>
      </c>
      <c r="B53" s="36" t="s">
        <v>91</v>
      </c>
      <c r="C53" s="21">
        <v>51</v>
      </c>
      <c r="D53" s="36" t="s">
        <v>91</v>
      </c>
      <c r="E53" s="37">
        <v>61</v>
      </c>
      <c r="F53" s="31" t="s">
        <v>138</v>
      </c>
      <c r="G53" s="36" t="s">
        <v>59</v>
      </c>
      <c r="H53" s="36" t="s">
        <v>60</v>
      </c>
      <c r="I53" s="36" t="s">
        <v>61</v>
      </c>
      <c r="J53" s="36" t="s">
        <v>81</v>
      </c>
      <c r="K53" s="33" t="s">
        <v>84</v>
      </c>
      <c r="L53" s="33" t="s">
        <v>64</v>
      </c>
      <c r="M53" s="33"/>
      <c r="N53" s="33"/>
      <c r="O53" s="33"/>
      <c r="P53" s="33"/>
      <c r="Q53" s="33" t="s">
        <v>17</v>
      </c>
      <c r="R53" s="36" t="s">
        <v>86</v>
      </c>
      <c r="S53" s="36" t="s">
        <v>5</v>
      </c>
      <c r="T53" s="36" t="s">
        <v>68</v>
      </c>
    </row>
    <row r="54" spans="1:20" x14ac:dyDescent="0.35">
      <c r="A54" s="21" t="str">
        <f>E54&amp;"_"&amp;COUNTIF(E$3:$E54,E54)&amp;"_"&amp;F54</f>
        <v>61_4_Panneaux_bois_massif_placage_int_toiture</v>
      </c>
      <c r="B54" s="36" t="s">
        <v>91</v>
      </c>
      <c r="C54" s="21">
        <v>52</v>
      </c>
      <c r="D54" s="36" t="s">
        <v>91</v>
      </c>
      <c r="E54" s="37">
        <v>61</v>
      </c>
      <c r="F54" s="31" t="s">
        <v>138</v>
      </c>
      <c r="G54" s="36" t="s">
        <v>59</v>
      </c>
      <c r="H54" s="36" t="s">
        <v>60</v>
      </c>
      <c r="I54" s="36" t="s">
        <v>61</v>
      </c>
      <c r="J54" s="36" t="s">
        <v>81</v>
      </c>
      <c r="K54" s="33" t="s">
        <v>84</v>
      </c>
      <c r="L54" s="33" t="s">
        <v>64</v>
      </c>
      <c r="M54" s="33"/>
      <c r="N54" s="33"/>
      <c r="O54" s="33"/>
      <c r="P54" s="33"/>
      <c r="Q54" s="33" t="s">
        <v>17</v>
      </c>
      <c r="R54" s="36" t="s">
        <v>86</v>
      </c>
      <c r="S54" s="36" t="s">
        <v>5</v>
      </c>
      <c r="T54" s="36" t="s">
        <v>69</v>
      </c>
    </row>
    <row r="55" spans="1:20" x14ac:dyDescent="0.35">
      <c r="A55" s="21" t="str">
        <f>E55&amp;"_"&amp;COUNTIF(E$3:$E55,E55)&amp;"_"&amp;F55</f>
        <v>64_5_Panneaux_bois_massif_placage_int_toiture</v>
      </c>
      <c r="B55" s="35" t="s">
        <v>92</v>
      </c>
      <c r="C55" s="21">
        <v>53</v>
      </c>
      <c r="D55" s="35" t="s">
        <v>92</v>
      </c>
      <c r="E55" s="31">
        <v>64</v>
      </c>
      <c r="F55" s="31" t="s">
        <v>138</v>
      </c>
      <c r="G55" s="35" t="s">
        <v>59</v>
      </c>
      <c r="H55" s="35" t="s">
        <v>60</v>
      </c>
      <c r="I55" s="35" t="s">
        <v>61</v>
      </c>
      <c r="J55" s="35" t="s">
        <v>81</v>
      </c>
      <c r="K55" s="35" t="s">
        <v>82</v>
      </c>
      <c r="L55" s="35" t="s">
        <v>64</v>
      </c>
      <c r="M55" s="31"/>
      <c r="N55" s="31"/>
      <c r="O55" s="31"/>
      <c r="P55" s="31"/>
      <c r="Q55" s="35" t="s">
        <v>17</v>
      </c>
      <c r="R55" s="35" t="s">
        <v>86</v>
      </c>
      <c r="S55" s="35" t="s">
        <v>5</v>
      </c>
      <c r="T55" s="35" t="s">
        <v>74</v>
      </c>
    </row>
    <row r="56" spans="1:20" x14ac:dyDescent="0.35">
      <c r="A56" s="21" t="str">
        <f>E56&amp;"_"&amp;COUNTIF(E$3:$E56,E56)&amp;"_"&amp;F56</f>
        <v>64_6_Panneaux_bois_massif_placage_int_toiture</v>
      </c>
      <c r="B56" s="35" t="s">
        <v>92</v>
      </c>
      <c r="C56" s="21">
        <v>54</v>
      </c>
      <c r="D56" s="35" t="s">
        <v>92</v>
      </c>
      <c r="E56" s="31">
        <v>64</v>
      </c>
      <c r="F56" s="31" t="s">
        <v>138</v>
      </c>
      <c r="G56" s="35" t="s">
        <v>59</v>
      </c>
      <c r="H56" s="35" t="s">
        <v>60</v>
      </c>
      <c r="I56" s="35" t="s">
        <v>61</v>
      </c>
      <c r="J56" s="35" t="s">
        <v>81</v>
      </c>
      <c r="K56" s="35" t="s">
        <v>82</v>
      </c>
      <c r="L56" s="35" t="s">
        <v>64</v>
      </c>
      <c r="M56" s="31"/>
      <c r="N56" s="31"/>
      <c r="O56" s="31"/>
      <c r="P56" s="31"/>
      <c r="Q56" s="35" t="s">
        <v>17</v>
      </c>
      <c r="R56" s="35" t="s">
        <v>86</v>
      </c>
      <c r="S56" s="35" t="s">
        <v>5</v>
      </c>
      <c r="T56" s="35" t="s">
        <v>75</v>
      </c>
    </row>
    <row r="57" spans="1:20" x14ac:dyDescent="0.35">
      <c r="A57" s="21" t="str">
        <f>E57&amp;"_"&amp;COUNTIF(E$3:$E57,E57)&amp;"_"&amp;F57</f>
        <v>64_7_Panneaux_bois_massif_placage_int_toiture</v>
      </c>
      <c r="B57" s="36" t="s">
        <v>93</v>
      </c>
      <c r="C57" s="21">
        <v>55</v>
      </c>
      <c r="D57" s="36" t="s">
        <v>93</v>
      </c>
      <c r="E57" s="33">
        <v>64</v>
      </c>
      <c r="F57" s="31" t="s">
        <v>138</v>
      </c>
      <c r="G57" s="36" t="s">
        <v>59</v>
      </c>
      <c r="H57" s="36" t="s">
        <v>60</v>
      </c>
      <c r="I57" s="36" t="s">
        <v>61</v>
      </c>
      <c r="J57" s="36" t="s">
        <v>81</v>
      </c>
      <c r="K57" s="33" t="s">
        <v>84</v>
      </c>
      <c r="L57" s="33" t="s">
        <v>64</v>
      </c>
      <c r="M57" s="33"/>
      <c r="N57" s="33"/>
      <c r="O57" s="33"/>
      <c r="P57" s="33"/>
      <c r="Q57" s="33" t="s">
        <v>17</v>
      </c>
      <c r="R57" s="36" t="s">
        <v>86</v>
      </c>
      <c r="S57" s="36" t="s">
        <v>5</v>
      </c>
      <c r="T57" s="36" t="s">
        <v>74</v>
      </c>
    </row>
    <row r="58" spans="1:20" x14ac:dyDescent="0.35">
      <c r="A58" s="21" t="str">
        <f>E58&amp;"_"&amp;COUNTIF(E$3:$E58,E58)&amp;"_"&amp;F58</f>
        <v>64_8_Panneaux_bois_massif_placage_int_toiture</v>
      </c>
      <c r="B58" s="36" t="s">
        <v>93</v>
      </c>
      <c r="C58" s="21">
        <v>56</v>
      </c>
      <c r="D58" s="36" t="s">
        <v>93</v>
      </c>
      <c r="E58" s="33">
        <v>64</v>
      </c>
      <c r="F58" s="31" t="s">
        <v>138</v>
      </c>
      <c r="G58" s="36" t="s">
        <v>59</v>
      </c>
      <c r="H58" s="36" t="s">
        <v>60</v>
      </c>
      <c r="I58" s="36" t="s">
        <v>61</v>
      </c>
      <c r="J58" s="36" t="s">
        <v>81</v>
      </c>
      <c r="K58" s="33" t="s">
        <v>84</v>
      </c>
      <c r="L58" s="33" t="s">
        <v>64</v>
      </c>
      <c r="M58" s="33"/>
      <c r="N58" s="33"/>
      <c r="O58" s="33"/>
      <c r="P58" s="33"/>
      <c r="Q58" s="33" t="s">
        <v>17</v>
      </c>
      <c r="R58" s="36" t="s">
        <v>86</v>
      </c>
      <c r="S58" s="36" t="s">
        <v>5</v>
      </c>
      <c r="T58" s="36" t="s">
        <v>75</v>
      </c>
    </row>
    <row r="59" spans="1:20" x14ac:dyDescent="0.35">
      <c r="A59" s="21" t="str">
        <f>E59&amp;"_"&amp;COUNTIF(E$3:$E59,E59)&amp;"_"&amp;F59</f>
        <v>47_3_Panneaux_bois_massif_placage_int_toiture</v>
      </c>
      <c r="B59" s="35" t="s">
        <v>94</v>
      </c>
      <c r="C59" s="21">
        <v>57</v>
      </c>
      <c r="D59" s="35" t="s">
        <v>94</v>
      </c>
      <c r="E59" s="31">
        <v>47</v>
      </c>
      <c r="F59" s="31" t="s">
        <v>138</v>
      </c>
      <c r="G59" s="35" t="s">
        <v>95</v>
      </c>
      <c r="H59" s="35" t="s">
        <v>60</v>
      </c>
      <c r="I59" s="35" t="s">
        <v>96</v>
      </c>
      <c r="J59" s="35" t="s">
        <v>97</v>
      </c>
      <c r="K59" s="31" t="s">
        <v>63</v>
      </c>
      <c r="L59" s="35" t="s">
        <v>64</v>
      </c>
      <c r="M59" s="31"/>
      <c r="N59" s="31"/>
      <c r="O59" s="31"/>
      <c r="P59" s="31"/>
      <c r="Q59" s="35" t="s">
        <v>17</v>
      </c>
      <c r="R59" s="31"/>
      <c r="S59" s="31"/>
      <c r="T59" s="31"/>
    </row>
    <row r="60" spans="1:20" x14ac:dyDescent="0.35">
      <c r="A60" s="21" t="str">
        <f>E60&amp;"_"&amp;COUNTIF(E$3:$E60,E60)&amp;"_"&amp;F60</f>
        <v>47_4_Panneaux_bois_massif_placage_int_toiture</v>
      </c>
      <c r="B60" s="35" t="s">
        <v>94</v>
      </c>
      <c r="C60" s="21">
        <v>58</v>
      </c>
      <c r="D60" s="35" t="s">
        <v>94</v>
      </c>
      <c r="E60" s="31">
        <v>47</v>
      </c>
      <c r="F60" s="31" t="s">
        <v>138</v>
      </c>
      <c r="G60" s="35" t="s">
        <v>95</v>
      </c>
      <c r="H60" s="35" t="s">
        <v>60</v>
      </c>
      <c r="I60" s="35" t="s">
        <v>96</v>
      </c>
      <c r="J60" s="35" t="s">
        <v>97</v>
      </c>
      <c r="K60" s="31" t="s">
        <v>63</v>
      </c>
      <c r="L60" s="35" t="s">
        <v>64</v>
      </c>
      <c r="M60" s="31"/>
      <c r="N60" s="31"/>
      <c r="O60" s="31"/>
      <c r="P60" s="31"/>
      <c r="Q60" s="35" t="s">
        <v>17</v>
      </c>
      <c r="R60" s="31"/>
      <c r="S60" s="31"/>
      <c r="T60" s="31"/>
    </row>
    <row r="61" spans="1:20" x14ac:dyDescent="0.35">
      <c r="A61" s="21" t="str">
        <f>E61&amp;"_"&amp;COUNTIF(E$3:$E61,E61)&amp;"_"&amp;F61</f>
        <v>47_5_Panneaux_bois_massif_placage_int_toiture</v>
      </c>
      <c r="B61" s="36" t="s">
        <v>98</v>
      </c>
      <c r="C61" s="21">
        <v>59</v>
      </c>
      <c r="D61" s="36" t="s">
        <v>98</v>
      </c>
      <c r="E61" s="33">
        <v>47</v>
      </c>
      <c r="F61" s="31" t="s">
        <v>138</v>
      </c>
      <c r="G61" s="36" t="s">
        <v>95</v>
      </c>
      <c r="H61" s="36" t="s">
        <v>60</v>
      </c>
      <c r="I61" s="36" t="s">
        <v>96</v>
      </c>
      <c r="J61" s="36" t="s">
        <v>97</v>
      </c>
      <c r="K61" s="33" t="s">
        <v>66</v>
      </c>
      <c r="L61" s="33" t="s">
        <v>64</v>
      </c>
      <c r="M61" s="33"/>
      <c r="N61" s="33"/>
      <c r="O61" s="33"/>
      <c r="P61" s="33"/>
      <c r="Q61" s="33" t="s">
        <v>17</v>
      </c>
      <c r="R61" s="33"/>
      <c r="S61" s="33"/>
      <c r="T61" s="33"/>
    </row>
    <row r="62" spans="1:20" x14ac:dyDescent="0.35">
      <c r="A62" s="21" t="str">
        <f>E62&amp;"_"&amp;COUNTIF(E$3:$E62,E62)&amp;"_"&amp;F62</f>
        <v>47_6_Panneaux_bois_massif_placage_int_toiture</v>
      </c>
      <c r="B62" s="36" t="s">
        <v>98</v>
      </c>
      <c r="C62" s="21">
        <v>60</v>
      </c>
      <c r="D62" s="36" t="s">
        <v>98</v>
      </c>
      <c r="E62" s="33">
        <v>47</v>
      </c>
      <c r="F62" s="31" t="s">
        <v>138</v>
      </c>
      <c r="G62" s="36" t="s">
        <v>95</v>
      </c>
      <c r="H62" s="36" t="s">
        <v>60</v>
      </c>
      <c r="I62" s="36" t="s">
        <v>96</v>
      </c>
      <c r="J62" s="36" t="s">
        <v>97</v>
      </c>
      <c r="K62" s="33" t="s">
        <v>66</v>
      </c>
      <c r="L62" s="33" t="s">
        <v>64</v>
      </c>
      <c r="M62" s="33"/>
      <c r="N62" s="33"/>
      <c r="O62" s="33"/>
      <c r="P62" s="33"/>
      <c r="Q62" s="33" t="s">
        <v>17</v>
      </c>
      <c r="R62" s="33"/>
      <c r="S62" s="33"/>
      <c r="T62" s="33"/>
    </row>
    <row r="63" spans="1:20" x14ac:dyDescent="0.35">
      <c r="A63" s="21" t="str">
        <f>E63&amp;"_"&amp;COUNTIF(E$3:$E63,E63)&amp;"_"&amp;F63</f>
        <v>55_1_Panneaux_bois_massif_placage_int_toiture</v>
      </c>
      <c r="B63" s="35" t="s">
        <v>99</v>
      </c>
      <c r="C63" s="21">
        <v>61</v>
      </c>
      <c r="D63" s="35" t="s">
        <v>99</v>
      </c>
      <c r="E63" s="31">
        <v>55</v>
      </c>
      <c r="F63" s="31" t="s">
        <v>138</v>
      </c>
      <c r="G63" s="35" t="s">
        <v>95</v>
      </c>
      <c r="H63" s="35" t="s">
        <v>60</v>
      </c>
      <c r="I63" s="35" t="s">
        <v>96</v>
      </c>
      <c r="J63" s="35" t="s">
        <v>97</v>
      </c>
      <c r="K63" s="31" t="s">
        <v>63</v>
      </c>
      <c r="L63" s="35" t="s">
        <v>64</v>
      </c>
      <c r="M63" s="31"/>
      <c r="N63" s="31"/>
      <c r="O63" s="31"/>
      <c r="P63" s="31"/>
      <c r="Q63" s="35" t="s">
        <v>17</v>
      </c>
      <c r="R63" s="35" t="s">
        <v>18</v>
      </c>
      <c r="S63" s="35" t="s">
        <v>5</v>
      </c>
      <c r="T63" s="35" t="s">
        <v>68</v>
      </c>
    </row>
    <row r="64" spans="1:20" x14ac:dyDescent="0.35">
      <c r="A64" s="21" t="str">
        <f>E64&amp;"_"&amp;COUNTIF(E$3:$E64,E64)&amp;"_"&amp;F64</f>
        <v>55_2_Panneaux_bois_massif_placage_int_toiture</v>
      </c>
      <c r="B64" s="35" t="s">
        <v>99</v>
      </c>
      <c r="C64" s="21">
        <v>62</v>
      </c>
      <c r="D64" s="35" t="s">
        <v>99</v>
      </c>
      <c r="E64" s="31">
        <v>55</v>
      </c>
      <c r="F64" s="31" t="s">
        <v>138</v>
      </c>
      <c r="G64" s="35" t="s">
        <v>95</v>
      </c>
      <c r="H64" s="35" t="s">
        <v>60</v>
      </c>
      <c r="I64" s="35" t="s">
        <v>96</v>
      </c>
      <c r="J64" s="35" t="s">
        <v>97</v>
      </c>
      <c r="K64" s="31" t="s">
        <v>63</v>
      </c>
      <c r="L64" s="35" t="s">
        <v>64</v>
      </c>
      <c r="M64" s="31"/>
      <c r="N64" s="31"/>
      <c r="O64" s="31"/>
      <c r="P64" s="31"/>
      <c r="Q64" s="35" t="s">
        <v>17</v>
      </c>
      <c r="R64" s="35" t="s">
        <v>18</v>
      </c>
      <c r="S64" s="35" t="s">
        <v>5</v>
      </c>
      <c r="T64" s="35" t="s">
        <v>69</v>
      </c>
    </row>
    <row r="65" spans="1:20" x14ac:dyDescent="0.35">
      <c r="A65" s="21" t="str">
        <f>E65&amp;"_"&amp;COUNTIF(E$3:$E65,E65)&amp;"_"&amp;F65</f>
        <v>55_3_Panneaux_bois_massif_placage_int_toiture</v>
      </c>
      <c r="B65" s="36" t="s">
        <v>100</v>
      </c>
      <c r="C65" s="21">
        <v>63</v>
      </c>
      <c r="D65" s="36" t="s">
        <v>100</v>
      </c>
      <c r="E65" s="33">
        <v>55</v>
      </c>
      <c r="F65" s="31" t="s">
        <v>138</v>
      </c>
      <c r="G65" s="36" t="s">
        <v>95</v>
      </c>
      <c r="H65" s="36" t="s">
        <v>60</v>
      </c>
      <c r="I65" s="36" t="s">
        <v>96</v>
      </c>
      <c r="J65" s="36" t="s">
        <v>97</v>
      </c>
      <c r="K65" s="33" t="s">
        <v>66</v>
      </c>
      <c r="L65" s="33" t="s">
        <v>64</v>
      </c>
      <c r="M65" s="33"/>
      <c r="N65" s="33"/>
      <c r="O65" s="33"/>
      <c r="P65" s="33"/>
      <c r="Q65" s="33" t="s">
        <v>17</v>
      </c>
      <c r="R65" s="36" t="s">
        <v>18</v>
      </c>
      <c r="S65" s="36" t="s">
        <v>5</v>
      </c>
      <c r="T65" s="36" t="s">
        <v>68</v>
      </c>
    </row>
    <row r="66" spans="1:20" x14ac:dyDescent="0.35">
      <c r="A66" s="21" t="str">
        <f>E66&amp;"_"&amp;COUNTIF(E$3:$E66,E66)&amp;"_"&amp;F66</f>
        <v>55_4_Panneaux_bois_massif_placage_int_toiture</v>
      </c>
      <c r="B66" s="36" t="s">
        <v>100</v>
      </c>
      <c r="C66" s="21">
        <v>64</v>
      </c>
      <c r="D66" s="36" t="s">
        <v>100</v>
      </c>
      <c r="E66" s="33">
        <v>55</v>
      </c>
      <c r="F66" s="31" t="s">
        <v>138</v>
      </c>
      <c r="G66" s="36" t="s">
        <v>95</v>
      </c>
      <c r="H66" s="36" t="s">
        <v>60</v>
      </c>
      <c r="I66" s="36" t="s">
        <v>96</v>
      </c>
      <c r="J66" s="36" t="s">
        <v>97</v>
      </c>
      <c r="K66" s="33" t="s">
        <v>66</v>
      </c>
      <c r="L66" s="33" t="s">
        <v>64</v>
      </c>
      <c r="M66" s="33"/>
      <c r="N66" s="33"/>
      <c r="O66" s="33"/>
      <c r="P66" s="33"/>
      <c r="Q66" s="33" t="s">
        <v>17</v>
      </c>
      <c r="R66" s="36" t="s">
        <v>18</v>
      </c>
      <c r="S66" s="36" t="s">
        <v>5</v>
      </c>
      <c r="T66" s="36" t="s">
        <v>69</v>
      </c>
    </row>
    <row r="67" spans="1:20" x14ac:dyDescent="0.35">
      <c r="A67" s="21" t="str">
        <f>E67&amp;"_"&amp;COUNTIF(E$3:$E67,E67)&amp;"_"&amp;F67</f>
        <v>55_5_Panneaux_bois_massif_placage_int_toiture</v>
      </c>
      <c r="B67" s="35" t="s">
        <v>101</v>
      </c>
      <c r="C67" s="21">
        <v>65</v>
      </c>
      <c r="D67" s="35" t="s">
        <v>101</v>
      </c>
      <c r="E67" s="31">
        <v>55</v>
      </c>
      <c r="F67" s="31" t="s">
        <v>138</v>
      </c>
      <c r="G67" s="35" t="s">
        <v>95</v>
      </c>
      <c r="H67" s="35" t="s">
        <v>60</v>
      </c>
      <c r="I67" s="35" t="s">
        <v>96</v>
      </c>
      <c r="J67" s="35" t="s">
        <v>97</v>
      </c>
      <c r="K67" s="31" t="s">
        <v>63</v>
      </c>
      <c r="L67" s="35" t="s">
        <v>64</v>
      </c>
      <c r="M67" s="31"/>
      <c r="N67" s="31"/>
      <c r="O67" s="31"/>
      <c r="P67" s="31"/>
      <c r="Q67" s="35" t="s">
        <v>17</v>
      </c>
      <c r="R67" s="35" t="s">
        <v>18</v>
      </c>
      <c r="S67" s="35" t="s">
        <v>5</v>
      </c>
      <c r="T67" s="35" t="s">
        <v>74</v>
      </c>
    </row>
    <row r="68" spans="1:20" x14ac:dyDescent="0.35">
      <c r="A68" s="21" t="str">
        <f>E68&amp;"_"&amp;COUNTIF(E$3:$E68,E68)&amp;"_"&amp;F68</f>
        <v>55_6_Panneaux_bois_massif_placage_int_toiture</v>
      </c>
      <c r="B68" s="35" t="s">
        <v>101</v>
      </c>
      <c r="C68" s="21">
        <v>66</v>
      </c>
      <c r="D68" s="35" t="s">
        <v>101</v>
      </c>
      <c r="E68" s="31">
        <v>55</v>
      </c>
      <c r="F68" s="31" t="s">
        <v>138</v>
      </c>
      <c r="G68" s="35" t="s">
        <v>95</v>
      </c>
      <c r="H68" s="35" t="s">
        <v>60</v>
      </c>
      <c r="I68" s="35" t="s">
        <v>96</v>
      </c>
      <c r="J68" s="35" t="s">
        <v>97</v>
      </c>
      <c r="K68" s="31" t="s">
        <v>63</v>
      </c>
      <c r="L68" s="35" t="s">
        <v>64</v>
      </c>
      <c r="M68" s="31"/>
      <c r="N68" s="31"/>
      <c r="O68" s="31"/>
      <c r="P68" s="31"/>
      <c r="Q68" s="35" t="s">
        <v>17</v>
      </c>
      <c r="R68" s="35" t="s">
        <v>18</v>
      </c>
      <c r="S68" s="35" t="s">
        <v>5</v>
      </c>
      <c r="T68" s="35" t="s">
        <v>75</v>
      </c>
    </row>
    <row r="69" spans="1:20" x14ac:dyDescent="0.35">
      <c r="A69" s="21" t="str">
        <f>E69&amp;"_"&amp;COUNTIF(E$3:$E69,E69)&amp;"_"&amp;F69</f>
        <v>55_7_Panneaux_bois_massif_placage_int_toiture</v>
      </c>
      <c r="B69" s="36" t="s">
        <v>102</v>
      </c>
      <c r="C69" s="21">
        <v>67</v>
      </c>
      <c r="D69" s="36" t="s">
        <v>102</v>
      </c>
      <c r="E69" s="33">
        <v>55</v>
      </c>
      <c r="F69" s="31" t="s">
        <v>138</v>
      </c>
      <c r="G69" s="36" t="s">
        <v>95</v>
      </c>
      <c r="H69" s="36" t="s">
        <v>60</v>
      </c>
      <c r="I69" s="36" t="s">
        <v>96</v>
      </c>
      <c r="J69" s="36" t="s">
        <v>97</v>
      </c>
      <c r="K69" s="33" t="s">
        <v>66</v>
      </c>
      <c r="L69" s="33" t="s">
        <v>64</v>
      </c>
      <c r="M69" s="33"/>
      <c r="N69" s="33"/>
      <c r="O69" s="33"/>
      <c r="P69" s="33"/>
      <c r="Q69" s="33" t="s">
        <v>17</v>
      </c>
      <c r="R69" s="36" t="s">
        <v>18</v>
      </c>
      <c r="S69" s="36" t="s">
        <v>5</v>
      </c>
      <c r="T69" s="36" t="s">
        <v>74</v>
      </c>
    </row>
    <row r="70" spans="1:20" x14ac:dyDescent="0.35">
      <c r="A70" s="21" t="str">
        <f>E70&amp;"_"&amp;COUNTIF(E$3:$E70,E70)&amp;"_"&amp;F70</f>
        <v>55_8_Panneaux_bois_massif_placage_int_toiture</v>
      </c>
      <c r="B70" s="36" t="s">
        <v>102</v>
      </c>
      <c r="C70" s="21">
        <v>68</v>
      </c>
      <c r="D70" s="36" t="s">
        <v>102</v>
      </c>
      <c r="E70" s="33">
        <v>55</v>
      </c>
      <c r="F70" s="31" t="s">
        <v>138</v>
      </c>
      <c r="G70" s="36" t="s">
        <v>95</v>
      </c>
      <c r="H70" s="36" t="s">
        <v>60</v>
      </c>
      <c r="I70" s="36" t="s">
        <v>96</v>
      </c>
      <c r="J70" s="36" t="s">
        <v>97</v>
      </c>
      <c r="K70" s="33" t="s">
        <v>66</v>
      </c>
      <c r="L70" s="33" t="s">
        <v>64</v>
      </c>
      <c r="M70" s="33"/>
      <c r="N70" s="33"/>
      <c r="O70" s="33"/>
      <c r="P70" s="33"/>
      <c r="Q70" s="33" t="s">
        <v>17</v>
      </c>
      <c r="R70" s="36" t="s">
        <v>18</v>
      </c>
      <c r="S70" s="36" t="s">
        <v>5</v>
      </c>
      <c r="T70" s="36" t="s">
        <v>75</v>
      </c>
    </row>
    <row r="71" spans="1:20" x14ac:dyDescent="0.35">
      <c r="A71" s="21" t="str">
        <f>E71&amp;"_"&amp;COUNTIF(E$3:$E71,E71)&amp;"_"&amp;F71</f>
        <v>57_1_Panneaux_bois_massif_placage_int_toiture</v>
      </c>
      <c r="B71" s="35" t="s">
        <v>103</v>
      </c>
      <c r="C71" s="21">
        <v>69</v>
      </c>
      <c r="D71" s="35" t="s">
        <v>103</v>
      </c>
      <c r="E71" s="31">
        <v>57</v>
      </c>
      <c r="F71" s="31" t="s">
        <v>138</v>
      </c>
      <c r="G71" s="35" t="s">
        <v>95</v>
      </c>
      <c r="H71" s="35" t="s">
        <v>60</v>
      </c>
      <c r="I71" s="35" t="s">
        <v>96</v>
      </c>
      <c r="J71" s="35" t="s">
        <v>97</v>
      </c>
      <c r="K71" s="31" t="s">
        <v>63</v>
      </c>
      <c r="L71" s="35" t="s">
        <v>64</v>
      </c>
      <c r="M71" s="31"/>
      <c r="N71" s="31"/>
      <c r="O71" s="31"/>
      <c r="P71" s="31"/>
      <c r="Q71" s="35" t="s">
        <v>17</v>
      </c>
      <c r="R71" s="35" t="s">
        <v>86</v>
      </c>
      <c r="S71" s="35" t="s">
        <v>5</v>
      </c>
      <c r="T71" s="35" t="s">
        <v>68</v>
      </c>
    </row>
    <row r="72" spans="1:20" x14ac:dyDescent="0.35">
      <c r="A72" s="21" t="str">
        <f>E72&amp;"_"&amp;COUNTIF(E$3:$E72,E72)&amp;"_"&amp;F72</f>
        <v>57_2_Panneaux_bois_massif_placage_int_toiture</v>
      </c>
      <c r="B72" s="35" t="s">
        <v>103</v>
      </c>
      <c r="C72" s="21">
        <v>70</v>
      </c>
      <c r="D72" s="35" t="s">
        <v>103</v>
      </c>
      <c r="E72" s="31">
        <v>57</v>
      </c>
      <c r="F72" s="31" t="s">
        <v>138</v>
      </c>
      <c r="G72" s="35" t="s">
        <v>95</v>
      </c>
      <c r="H72" s="35" t="s">
        <v>60</v>
      </c>
      <c r="I72" s="35" t="s">
        <v>96</v>
      </c>
      <c r="J72" s="35" t="s">
        <v>97</v>
      </c>
      <c r="K72" s="31" t="s">
        <v>63</v>
      </c>
      <c r="L72" s="35" t="s">
        <v>64</v>
      </c>
      <c r="M72" s="31"/>
      <c r="N72" s="31"/>
      <c r="O72" s="31"/>
      <c r="P72" s="31"/>
      <c r="Q72" s="35" t="s">
        <v>17</v>
      </c>
      <c r="R72" s="35" t="s">
        <v>86</v>
      </c>
      <c r="S72" s="35" t="s">
        <v>5</v>
      </c>
      <c r="T72" s="35" t="s">
        <v>69</v>
      </c>
    </row>
    <row r="73" spans="1:20" x14ac:dyDescent="0.35">
      <c r="A73" s="21" t="str">
        <f>E73&amp;"_"&amp;COUNTIF(E$3:$E73,E73)&amp;"_"&amp;F73</f>
        <v>57_3_Panneaux_bois_massif_placage_int_toiture</v>
      </c>
      <c r="B73" s="36" t="s">
        <v>104</v>
      </c>
      <c r="C73" s="21">
        <v>71</v>
      </c>
      <c r="D73" s="36" t="s">
        <v>104</v>
      </c>
      <c r="E73" s="33">
        <v>57</v>
      </c>
      <c r="F73" s="31" t="s">
        <v>138</v>
      </c>
      <c r="G73" s="36" t="s">
        <v>95</v>
      </c>
      <c r="H73" s="36" t="s">
        <v>60</v>
      </c>
      <c r="I73" s="36" t="s">
        <v>96</v>
      </c>
      <c r="J73" s="36" t="s">
        <v>97</v>
      </c>
      <c r="K73" s="33" t="s">
        <v>66</v>
      </c>
      <c r="L73" s="33" t="s">
        <v>64</v>
      </c>
      <c r="M73" s="33"/>
      <c r="N73" s="33"/>
      <c r="O73" s="33"/>
      <c r="P73" s="33"/>
      <c r="Q73" s="33" t="s">
        <v>17</v>
      </c>
      <c r="R73" s="36" t="s">
        <v>86</v>
      </c>
      <c r="S73" s="36" t="s">
        <v>5</v>
      </c>
      <c r="T73" s="36" t="s">
        <v>68</v>
      </c>
    </row>
    <row r="74" spans="1:20" x14ac:dyDescent="0.35">
      <c r="A74" s="21" t="str">
        <f>E74&amp;"_"&amp;COUNTIF(E$3:$E74,E74)&amp;"_"&amp;F74</f>
        <v>57_4_Panneaux_bois_massif_placage_int_toiture</v>
      </c>
      <c r="B74" s="36" t="s">
        <v>104</v>
      </c>
      <c r="C74" s="21">
        <v>72</v>
      </c>
      <c r="D74" s="36" t="s">
        <v>104</v>
      </c>
      <c r="E74" s="33">
        <v>57</v>
      </c>
      <c r="F74" s="31" t="s">
        <v>138</v>
      </c>
      <c r="G74" s="36" t="s">
        <v>95</v>
      </c>
      <c r="H74" s="36" t="s">
        <v>60</v>
      </c>
      <c r="I74" s="36" t="s">
        <v>96</v>
      </c>
      <c r="J74" s="36" t="s">
        <v>97</v>
      </c>
      <c r="K74" s="33" t="s">
        <v>66</v>
      </c>
      <c r="L74" s="33" t="s">
        <v>64</v>
      </c>
      <c r="M74" s="33"/>
      <c r="N74" s="33"/>
      <c r="O74" s="33"/>
      <c r="P74" s="33"/>
      <c r="Q74" s="33" t="s">
        <v>17</v>
      </c>
      <c r="R74" s="36" t="s">
        <v>86</v>
      </c>
      <c r="S74" s="36" t="s">
        <v>5</v>
      </c>
      <c r="T74" s="36" t="s">
        <v>69</v>
      </c>
    </row>
    <row r="75" spans="1:20" x14ac:dyDescent="0.35">
      <c r="A75" s="21" t="str">
        <f>E75&amp;"_"&amp;COUNTIF(E$3:$E75,E75)&amp;"_"&amp;F75</f>
        <v>59_9_Panneaux_bois_massif_placage_int_toiture</v>
      </c>
      <c r="B75" s="35" t="s">
        <v>105</v>
      </c>
      <c r="C75" s="21">
        <v>73</v>
      </c>
      <c r="D75" s="35" t="s">
        <v>105</v>
      </c>
      <c r="E75" s="31">
        <v>59</v>
      </c>
      <c r="F75" s="31" t="s">
        <v>138</v>
      </c>
      <c r="G75" s="35" t="s">
        <v>95</v>
      </c>
      <c r="H75" s="35" t="s">
        <v>60</v>
      </c>
      <c r="I75" s="35" t="s">
        <v>96</v>
      </c>
      <c r="J75" s="35" t="s">
        <v>97</v>
      </c>
      <c r="K75" s="31" t="s">
        <v>63</v>
      </c>
      <c r="L75" s="35" t="s">
        <v>64</v>
      </c>
      <c r="M75" s="31"/>
      <c r="N75" s="31"/>
      <c r="O75" s="31"/>
      <c r="P75" s="31"/>
      <c r="Q75" s="35" t="s">
        <v>17</v>
      </c>
      <c r="R75" s="35" t="s">
        <v>86</v>
      </c>
      <c r="S75" s="35" t="s">
        <v>5</v>
      </c>
      <c r="T75" s="35" t="s">
        <v>74</v>
      </c>
    </row>
    <row r="76" spans="1:20" x14ac:dyDescent="0.35">
      <c r="A76" s="21" t="str">
        <f>E76&amp;"_"&amp;COUNTIF(E$3:$E76,E76)&amp;"_"&amp;F76</f>
        <v>59_10_Panneaux_bois_massif_placage_int_toiture</v>
      </c>
      <c r="B76" s="35" t="s">
        <v>105</v>
      </c>
      <c r="C76" s="21">
        <v>74</v>
      </c>
      <c r="D76" s="35" t="s">
        <v>105</v>
      </c>
      <c r="E76" s="31">
        <v>59</v>
      </c>
      <c r="F76" s="31" t="s">
        <v>138</v>
      </c>
      <c r="G76" s="35" t="s">
        <v>95</v>
      </c>
      <c r="H76" s="35" t="s">
        <v>60</v>
      </c>
      <c r="I76" s="35" t="s">
        <v>96</v>
      </c>
      <c r="J76" s="35" t="s">
        <v>97</v>
      </c>
      <c r="K76" s="31" t="s">
        <v>63</v>
      </c>
      <c r="L76" s="35" t="s">
        <v>64</v>
      </c>
      <c r="M76" s="31"/>
      <c r="N76" s="31"/>
      <c r="O76" s="31"/>
      <c r="P76" s="31"/>
      <c r="Q76" s="35" t="s">
        <v>17</v>
      </c>
      <c r="R76" s="35" t="s">
        <v>86</v>
      </c>
      <c r="S76" s="35" t="s">
        <v>5</v>
      </c>
      <c r="T76" s="35" t="s">
        <v>75</v>
      </c>
    </row>
    <row r="77" spans="1:20" x14ac:dyDescent="0.35">
      <c r="A77" s="21" t="str">
        <f>E77&amp;"_"&amp;COUNTIF(E$3:$E77,E77)&amp;"_"&amp;F77</f>
        <v>59_11_Panneaux_bois_massif_placage_int_toiture</v>
      </c>
      <c r="B77" s="36" t="s">
        <v>106</v>
      </c>
      <c r="C77" s="21">
        <v>75</v>
      </c>
      <c r="D77" s="36" t="s">
        <v>106</v>
      </c>
      <c r="E77" s="33">
        <v>59</v>
      </c>
      <c r="F77" s="31" t="s">
        <v>138</v>
      </c>
      <c r="G77" s="36" t="s">
        <v>95</v>
      </c>
      <c r="H77" s="36" t="s">
        <v>60</v>
      </c>
      <c r="I77" s="36" t="s">
        <v>96</v>
      </c>
      <c r="J77" s="36" t="s">
        <v>97</v>
      </c>
      <c r="K77" s="33" t="s">
        <v>66</v>
      </c>
      <c r="L77" s="33" t="s">
        <v>64</v>
      </c>
      <c r="M77" s="33"/>
      <c r="N77" s="33"/>
      <c r="O77" s="33"/>
      <c r="P77" s="33"/>
      <c r="Q77" s="33" t="s">
        <v>17</v>
      </c>
      <c r="R77" s="36" t="s">
        <v>86</v>
      </c>
      <c r="S77" s="36" t="s">
        <v>5</v>
      </c>
      <c r="T77" s="36" t="s">
        <v>74</v>
      </c>
    </row>
    <row r="78" spans="1:20" x14ac:dyDescent="0.35">
      <c r="A78" s="21" t="str">
        <f>E78&amp;"_"&amp;COUNTIF(E$3:$E78,E78)&amp;"_"&amp;F78</f>
        <v>59_12_Panneaux_bois_massif_placage_int_toiture</v>
      </c>
      <c r="B78" s="36" t="s">
        <v>106</v>
      </c>
      <c r="C78" s="21">
        <v>76</v>
      </c>
      <c r="D78" s="36" t="s">
        <v>106</v>
      </c>
      <c r="E78" s="33">
        <v>59</v>
      </c>
      <c r="F78" s="31" t="s">
        <v>138</v>
      </c>
      <c r="G78" s="36" t="s">
        <v>95</v>
      </c>
      <c r="H78" s="36" t="s">
        <v>60</v>
      </c>
      <c r="I78" s="36" t="s">
        <v>96</v>
      </c>
      <c r="J78" s="36" t="s">
        <v>97</v>
      </c>
      <c r="K78" s="33" t="s">
        <v>66</v>
      </c>
      <c r="L78" s="33" t="s">
        <v>64</v>
      </c>
      <c r="M78" s="33"/>
      <c r="N78" s="33"/>
      <c r="O78" s="33"/>
      <c r="P78" s="33"/>
      <c r="Q78" s="33" t="s">
        <v>17</v>
      </c>
      <c r="R78" s="36" t="s">
        <v>86</v>
      </c>
      <c r="S78" s="36" t="s">
        <v>5</v>
      </c>
      <c r="T78" s="36" t="s">
        <v>75</v>
      </c>
    </row>
    <row r="79" spans="1:20" x14ac:dyDescent="0.35">
      <c r="A79" s="21" t="str">
        <f>E79&amp;"_"&amp;COUNTIF(E$3:$E79,E79)&amp;"_"&amp;F79</f>
        <v>45_4_Panneaux_bois_massif_placage_int_toiture</v>
      </c>
      <c r="B79" s="35" t="s">
        <v>107</v>
      </c>
      <c r="C79" s="21">
        <v>77</v>
      </c>
      <c r="D79" s="35" t="s">
        <v>107</v>
      </c>
      <c r="E79" s="31">
        <v>45</v>
      </c>
      <c r="F79" s="31" t="s">
        <v>138</v>
      </c>
      <c r="G79" s="35" t="s">
        <v>95</v>
      </c>
      <c r="H79" s="35" t="s">
        <v>60</v>
      </c>
      <c r="I79" s="35" t="s">
        <v>96</v>
      </c>
      <c r="J79" s="35" t="s">
        <v>81</v>
      </c>
      <c r="K79" s="35" t="s">
        <v>82</v>
      </c>
      <c r="L79" s="35" t="s">
        <v>64</v>
      </c>
      <c r="M79" s="31"/>
      <c r="N79" s="31"/>
      <c r="O79" s="31"/>
      <c r="P79" s="31"/>
      <c r="Q79" s="35" t="s">
        <v>17</v>
      </c>
      <c r="R79" s="31"/>
      <c r="S79" s="31"/>
      <c r="T79" s="31"/>
    </row>
    <row r="80" spans="1:20" x14ac:dyDescent="0.35">
      <c r="A80" s="21" t="str">
        <f>E80&amp;"_"&amp;COUNTIF(E$3:$E80,E80)&amp;"_"&amp;F80</f>
        <v>45_5_Panneaux_bois_massif_placage_int_toiture</v>
      </c>
      <c r="B80" s="35" t="s">
        <v>107</v>
      </c>
      <c r="C80" s="21">
        <v>78</v>
      </c>
      <c r="D80" s="35" t="s">
        <v>107</v>
      </c>
      <c r="E80" s="31">
        <v>45</v>
      </c>
      <c r="F80" s="31" t="s">
        <v>138</v>
      </c>
      <c r="G80" s="35" t="s">
        <v>95</v>
      </c>
      <c r="H80" s="35" t="s">
        <v>60</v>
      </c>
      <c r="I80" s="35" t="s">
        <v>96</v>
      </c>
      <c r="J80" s="35" t="s">
        <v>81</v>
      </c>
      <c r="K80" s="35" t="s">
        <v>82</v>
      </c>
      <c r="L80" s="35" t="s">
        <v>64</v>
      </c>
      <c r="M80" s="31"/>
      <c r="N80" s="31"/>
      <c r="O80" s="31"/>
      <c r="P80" s="31"/>
      <c r="Q80" s="35" t="s">
        <v>17</v>
      </c>
      <c r="R80" s="31"/>
      <c r="S80" s="31"/>
      <c r="T80" s="31"/>
    </row>
    <row r="81" spans="1:20" x14ac:dyDescent="0.35">
      <c r="A81" s="21" t="str">
        <f>E81&amp;"_"&amp;COUNTIF(E$3:$E81,E81)&amp;"_"&amp;F81</f>
        <v>45_6_Panneaux_bois_massif_placage_int_toiture</v>
      </c>
      <c r="B81" s="36" t="s">
        <v>108</v>
      </c>
      <c r="C81" s="21">
        <v>79</v>
      </c>
      <c r="D81" s="36" t="s">
        <v>108</v>
      </c>
      <c r="E81" s="33">
        <v>45</v>
      </c>
      <c r="F81" s="31" t="s">
        <v>138</v>
      </c>
      <c r="G81" s="36" t="s">
        <v>95</v>
      </c>
      <c r="H81" s="36" t="s">
        <v>60</v>
      </c>
      <c r="I81" s="36" t="s">
        <v>96</v>
      </c>
      <c r="J81" s="36" t="s">
        <v>81</v>
      </c>
      <c r="K81" s="36" t="s">
        <v>84</v>
      </c>
      <c r="L81" s="33" t="s">
        <v>64</v>
      </c>
      <c r="M81" s="33"/>
      <c r="N81" s="33"/>
      <c r="O81" s="33"/>
      <c r="P81" s="33"/>
      <c r="Q81" s="33" t="s">
        <v>17</v>
      </c>
      <c r="R81" s="33"/>
      <c r="S81" s="33"/>
      <c r="T81" s="33"/>
    </row>
    <row r="82" spans="1:20" x14ac:dyDescent="0.35">
      <c r="A82" s="21" t="str">
        <f>E82&amp;"_"&amp;COUNTIF(E$3:$E82,E82)&amp;"_"&amp;F82</f>
        <v>45_7_Panneaux_bois_massif_placage_int_toiture</v>
      </c>
      <c r="B82" s="36" t="s">
        <v>108</v>
      </c>
      <c r="C82" s="21">
        <v>80</v>
      </c>
      <c r="D82" s="36" t="s">
        <v>108</v>
      </c>
      <c r="E82" s="33">
        <v>45</v>
      </c>
      <c r="F82" s="31" t="s">
        <v>138</v>
      </c>
      <c r="G82" s="36" t="s">
        <v>95</v>
      </c>
      <c r="H82" s="36" t="s">
        <v>60</v>
      </c>
      <c r="I82" s="36" t="s">
        <v>96</v>
      </c>
      <c r="J82" s="36" t="s">
        <v>81</v>
      </c>
      <c r="K82" s="36" t="s">
        <v>84</v>
      </c>
      <c r="L82" s="33" t="s">
        <v>64</v>
      </c>
      <c r="M82" s="33"/>
      <c r="N82" s="33"/>
      <c r="O82" s="33"/>
      <c r="P82" s="33"/>
      <c r="Q82" s="33" t="s">
        <v>17</v>
      </c>
      <c r="R82" s="33"/>
      <c r="S82" s="33"/>
      <c r="T82" s="33"/>
    </row>
    <row r="83" spans="1:20" x14ac:dyDescent="0.35">
      <c r="A83" s="21" t="str">
        <f>E83&amp;"_"&amp;COUNTIF(E$3:$E83,E83)&amp;"_"&amp;F83</f>
        <v>52_3_Panneaux_bois_massif_placage_int_toiture</v>
      </c>
      <c r="B83" s="35" t="s">
        <v>109</v>
      </c>
      <c r="C83" s="21">
        <v>81</v>
      </c>
      <c r="D83" s="35" t="s">
        <v>109</v>
      </c>
      <c r="E83" s="31">
        <v>52</v>
      </c>
      <c r="F83" s="31" t="s">
        <v>138</v>
      </c>
      <c r="G83" s="35" t="s">
        <v>95</v>
      </c>
      <c r="H83" s="35" t="s">
        <v>60</v>
      </c>
      <c r="I83" s="35" t="s">
        <v>96</v>
      </c>
      <c r="J83" s="35" t="s">
        <v>81</v>
      </c>
      <c r="K83" s="35" t="s">
        <v>82</v>
      </c>
      <c r="L83" s="35" t="s">
        <v>64</v>
      </c>
      <c r="M83" s="31"/>
      <c r="N83" s="31"/>
      <c r="O83" s="31"/>
      <c r="P83" s="31"/>
      <c r="Q83" s="35" t="s">
        <v>17</v>
      </c>
      <c r="R83" s="35" t="s">
        <v>18</v>
      </c>
      <c r="S83" s="35" t="s">
        <v>5</v>
      </c>
      <c r="T83" s="35" t="s">
        <v>68</v>
      </c>
    </row>
    <row r="84" spans="1:20" x14ac:dyDescent="0.35">
      <c r="A84" s="21" t="str">
        <f>E84&amp;"_"&amp;COUNTIF(E$3:$E84,E84)&amp;"_"&amp;F84</f>
        <v>52_4_Panneaux_bois_massif_placage_int_toiture</v>
      </c>
      <c r="B84" s="35" t="s">
        <v>109</v>
      </c>
      <c r="C84" s="21">
        <v>82</v>
      </c>
      <c r="D84" s="35" t="s">
        <v>109</v>
      </c>
      <c r="E84" s="31">
        <v>52</v>
      </c>
      <c r="F84" s="31" t="s">
        <v>138</v>
      </c>
      <c r="G84" s="35" t="s">
        <v>95</v>
      </c>
      <c r="H84" s="35" t="s">
        <v>60</v>
      </c>
      <c r="I84" s="35" t="s">
        <v>96</v>
      </c>
      <c r="J84" s="35" t="s">
        <v>81</v>
      </c>
      <c r="K84" s="35" t="s">
        <v>82</v>
      </c>
      <c r="L84" s="35" t="s">
        <v>64</v>
      </c>
      <c r="M84" s="31"/>
      <c r="N84" s="31"/>
      <c r="O84" s="31"/>
      <c r="P84" s="31"/>
      <c r="Q84" s="35" t="s">
        <v>17</v>
      </c>
      <c r="R84" s="35" t="s">
        <v>18</v>
      </c>
      <c r="S84" s="35" t="s">
        <v>5</v>
      </c>
      <c r="T84" s="35" t="s">
        <v>69</v>
      </c>
    </row>
    <row r="85" spans="1:20" x14ac:dyDescent="0.35">
      <c r="A85" s="21" t="str">
        <f>E85&amp;"_"&amp;COUNTIF(E$3:$E85,E85)&amp;"_"&amp;F85</f>
        <v>52_5_Panneaux_bois_massif_placage_int_toiture</v>
      </c>
      <c r="B85" s="36" t="s">
        <v>110</v>
      </c>
      <c r="C85" s="21">
        <v>83</v>
      </c>
      <c r="D85" s="36" t="s">
        <v>110</v>
      </c>
      <c r="E85" s="33">
        <v>52</v>
      </c>
      <c r="F85" s="31" t="s">
        <v>138</v>
      </c>
      <c r="G85" s="36" t="s">
        <v>95</v>
      </c>
      <c r="H85" s="36" t="s">
        <v>60</v>
      </c>
      <c r="I85" s="36" t="s">
        <v>96</v>
      </c>
      <c r="J85" s="36" t="s">
        <v>81</v>
      </c>
      <c r="K85" s="36" t="s">
        <v>84</v>
      </c>
      <c r="L85" s="33" t="s">
        <v>64</v>
      </c>
      <c r="M85" s="33"/>
      <c r="N85" s="33"/>
      <c r="O85" s="33"/>
      <c r="P85" s="33"/>
      <c r="Q85" s="36" t="s">
        <v>17</v>
      </c>
      <c r="R85" s="36" t="s">
        <v>18</v>
      </c>
      <c r="S85" s="36" t="s">
        <v>5</v>
      </c>
      <c r="T85" s="36" t="s">
        <v>68</v>
      </c>
    </row>
    <row r="86" spans="1:20" x14ac:dyDescent="0.35">
      <c r="A86" s="21" t="str">
        <f>E86&amp;"_"&amp;COUNTIF(E$3:$E86,E86)&amp;"_"&amp;F86</f>
        <v>52_6_Panneaux_bois_massif_placage_int_toiture</v>
      </c>
      <c r="B86" s="36" t="s">
        <v>110</v>
      </c>
      <c r="C86" s="21">
        <v>84</v>
      </c>
      <c r="D86" s="36" t="s">
        <v>110</v>
      </c>
      <c r="E86" s="33">
        <v>52</v>
      </c>
      <c r="F86" s="31" t="s">
        <v>138</v>
      </c>
      <c r="G86" s="36" t="s">
        <v>95</v>
      </c>
      <c r="H86" s="36" t="s">
        <v>60</v>
      </c>
      <c r="I86" s="36" t="s">
        <v>96</v>
      </c>
      <c r="J86" s="36" t="s">
        <v>81</v>
      </c>
      <c r="K86" s="36" t="s">
        <v>84</v>
      </c>
      <c r="L86" s="33" t="s">
        <v>64</v>
      </c>
      <c r="M86" s="33"/>
      <c r="N86" s="33"/>
      <c r="O86" s="33"/>
      <c r="P86" s="33"/>
      <c r="Q86" s="36" t="s">
        <v>17</v>
      </c>
      <c r="R86" s="36" t="s">
        <v>18</v>
      </c>
      <c r="S86" s="36" t="s">
        <v>5</v>
      </c>
      <c r="T86" s="36" t="s">
        <v>69</v>
      </c>
    </row>
    <row r="87" spans="1:20" x14ac:dyDescent="0.35">
      <c r="A87" s="21" t="str">
        <f>E87&amp;"_"&amp;COUNTIF(E$3:$E87,E87)&amp;"_"&amp;F87</f>
        <v>52_7_Panneaux_bois_massif_placage_int_toiture</v>
      </c>
      <c r="B87" s="35" t="s">
        <v>111</v>
      </c>
      <c r="C87" s="21">
        <v>85</v>
      </c>
      <c r="D87" s="35" t="s">
        <v>111</v>
      </c>
      <c r="E87" s="31">
        <v>52</v>
      </c>
      <c r="F87" s="31" t="s">
        <v>138</v>
      </c>
      <c r="G87" s="35" t="s">
        <v>95</v>
      </c>
      <c r="H87" s="35" t="s">
        <v>60</v>
      </c>
      <c r="I87" s="35" t="s">
        <v>96</v>
      </c>
      <c r="J87" s="35" t="s">
        <v>81</v>
      </c>
      <c r="K87" s="35" t="s">
        <v>82</v>
      </c>
      <c r="L87" s="35" t="s">
        <v>64</v>
      </c>
      <c r="M87" s="31"/>
      <c r="N87" s="31"/>
      <c r="O87" s="31"/>
      <c r="P87" s="31"/>
      <c r="Q87" s="35" t="s">
        <v>17</v>
      </c>
      <c r="R87" s="35" t="s">
        <v>18</v>
      </c>
      <c r="S87" s="35" t="s">
        <v>5</v>
      </c>
      <c r="T87" s="35" t="s">
        <v>74</v>
      </c>
    </row>
    <row r="88" spans="1:20" x14ac:dyDescent="0.35">
      <c r="A88" s="21" t="str">
        <f>E88&amp;"_"&amp;COUNTIF(E$3:$E88,E88)&amp;"_"&amp;F88</f>
        <v>52_8_Panneaux_bois_massif_placage_int_toiture</v>
      </c>
      <c r="B88" s="35" t="s">
        <v>111</v>
      </c>
      <c r="C88" s="21">
        <v>86</v>
      </c>
      <c r="D88" s="35" t="s">
        <v>111</v>
      </c>
      <c r="E88" s="31">
        <v>52</v>
      </c>
      <c r="F88" s="31" t="s">
        <v>138</v>
      </c>
      <c r="G88" s="35" t="s">
        <v>95</v>
      </c>
      <c r="H88" s="35" t="s">
        <v>60</v>
      </c>
      <c r="I88" s="35" t="s">
        <v>96</v>
      </c>
      <c r="J88" s="35" t="s">
        <v>81</v>
      </c>
      <c r="K88" s="35" t="s">
        <v>82</v>
      </c>
      <c r="L88" s="35" t="s">
        <v>64</v>
      </c>
      <c r="M88" s="31"/>
      <c r="N88" s="31"/>
      <c r="O88" s="31"/>
      <c r="P88" s="31"/>
      <c r="Q88" s="35" t="s">
        <v>17</v>
      </c>
      <c r="R88" s="35" t="s">
        <v>18</v>
      </c>
      <c r="S88" s="35" t="s">
        <v>5</v>
      </c>
      <c r="T88" s="35" t="s">
        <v>75</v>
      </c>
    </row>
    <row r="89" spans="1:20" x14ac:dyDescent="0.35">
      <c r="A89" s="21" t="str">
        <f>E89&amp;"_"&amp;COUNTIF(E$3:$E89,E89)&amp;"_"&amp;F89</f>
        <v>52_9_Panneaux_bois_massif_placage_int_toiture</v>
      </c>
      <c r="B89" s="36" t="s">
        <v>112</v>
      </c>
      <c r="C89" s="21">
        <v>87</v>
      </c>
      <c r="D89" s="36" t="s">
        <v>112</v>
      </c>
      <c r="E89" s="33">
        <v>52</v>
      </c>
      <c r="F89" s="31" t="s">
        <v>138</v>
      </c>
      <c r="G89" s="36" t="s">
        <v>95</v>
      </c>
      <c r="H89" s="36" t="s">
        <v>60</v>
      </c>
      <c r="I89" s="36" t="s">
        <v>96</v>
      </c>
      <c r="J89" s="36" t="s">
        <v>81</v>
      </c>
      <c r="K89" s="36" t="s">
        <v>84</v>
      </c>
      <c r="L89" s="33" t="s">
        <v>64</v>
      </c>
      <c r="M89" s="33"/>
      <c r="N89" s="33"/>
      <c r="O89" s="33"/>
      <c r="P89" s="33"/>
      <c r="Q89" s="36" t="s">
        <v>17</v>
      </c>
      <c r="R89" s="36" t="s">
        <v>18</v>
      </c>
      <c r="S89" s="36" t="s">
        <v>5</v>
      </c>
      <c r="T89" s="36" t="s">
        <v>74</v>
      </c>
    </row>
    <row r="90" spans="1:20" x14ac:dyDescent="0.35">
      <c r="A90" s="21" t="str">
        <f>E90&amp;"_"&amp;COUNTIF(E$3:$E90,E90)&amp;"_"&amp;F90</f>
        <v>52_10_Panneaux_bois_massif_placage_int_toiture</v>
      </c>
      <c r="B90" s="36" t="s">
        <v>112</v>
      </c>
      <c r="C90" s="21">
        <v>88</v>
      </c>
      <c r="D90" s="36" t="s">
        <v>112</v>
      </c>
      <c r="E90" s="33">
        <v>52</v>
      </c>
      <c r="F90" s="31" t="s">
        <v>138</v>
      </c>
      <c r="G90" s="36" t="s">
        <v>95</v>
      </c>
      <c r="H90" s="36" t="s">
        <v>60</v>
      </c>
      <c r="I90" s="36" t="s">
        <v>96</v>
      </c>
      <c r="J90" s="36" t="s">
        <v>81</v>
      </c>
      <c r="K90" s="36" t="s">
        <v>84</v>
      </c>
      <c r="L90" s="33" t="s">
        <v>64</v>
      </c>
      <c r="M90" s="33"/>
      <c r="N90" s="33"/>
      <c r="O90" s="33"/>
      <c r="P90" s="33"/>
      <c r="Q90" s="36" t="s">
        <v>17</v>
      </c>
      <c r="R90" s="36" t="s">
        <v>18</v>
      </c>
      <c r="S90" s="36" t="s">
        <v>5</v>
      </c>
      <c r="T90" s="36" t="s">
        <v>75</v>
      </c>
    </row>
    <row r="91" spans="1:20" x14ac:dyDescent="0.35">
      <c r="A91" s="21" t="str">
        <f>E91&amp;"_"&amp;COUNTIF(E$3:$E91,E91)&amp;"_"&amp;F91</f>
        <v>55_9_Panneaux_bois_massif_placage_int_toiture</v>
      </c>
      <c r="B91" s="35" t="s">
        <v>113</v>
      </c>
      <c r="C91" s="21">
        <v>89</v>
      </c>
      <c r="D91" s="35" t="s">
        <v>113</v>
      </c>
      <c r="E91" s="31">
        <v>55</v>
      </c>
      <c r="F91" s="31" t="s">
        <v>138</v>
      </c>
      <c r="G91" s="35" t="s">
        <v>95</v>
      </c>
      <c r="H91" s="35" t="s">
        <v>60</v>
      </c>
      <c r="I91" s="35" t="s">
        <v>96</v>
      </c>
      <c r="J91" s="35" t="s">
        <v>81</v>
      </c>
      <c r="K91" s="35" t="s">
        <v>82</v>
      </c>
      <c r="L91" s="35" t="s">
        <v>64</v>
      </c>
      <c r="M91" s="31"/>
      <c r="N91" s="31"/>
      <c r="O91" s="31"/>
      <c r="P91" s="31"/>
      <c r="Q91" s="35" t="s">
        <v>17</v>
      </c>
      <c r="R91" s="35" t="s">
        <v>86</v>
      </c>
      <c r="S91" s="35" t="s">
        <v>5</v>
      </c>
      <c r="T91" s="35" t="s">
        <v>68</v>
      </c>
    </row>
    <row r="92" spans="1:20" x14ac:dyDescent="0.35">
      <c r="A92" s="21" t="str">
        <f>E92&amp;"_"&amp;COUNTIF(E$3:$E92,E92)&amp;"_"&amp;F92</f>
        <v>55_10_Panneaux_bois_massif_placage_int_toiture</v>
      </c>
      <c r="B92" s="35" t="s">
        <v>113</v>
      </c>
      <c r="C92" s="21">
        <v>90</v>
      </c>
      <c r="D92" s="35" t="s">
        <v>113</v>
      </c>
      <c r="E92" s="31">
        <v>55</v>
      </c>
      <c r="F92" s="31" t="s">
        <v>138</v>
      </c>
      <c r="G92" s="35" t="s">
        <v>95</v>
      </c>
      <c r="H92" s="35" t="s">
        <v>60</v>
      </c>
      <c r="I92" s="35" t="s">
        <v>96</v>
      </c>
      <c r="J92" s="35" t="s">
        <v>81</v>
      </c>
      <c r="K92" s="35" t="s">
        <v>82</v>
      </c>
      <c r="L92" s="35" t="s">
        <v>64</v>
      </c>
      <c r="M92" s="31"/>
      <c r="N92" s="31"/>
      <c r="O92" s="31"/>
      <c r="P92" s="31"/>
      <c r="Q92" s="35" t="s">
        <v>17</v>
      </c>
      <c r="R92" s="35" t="s">
        <v>86</v>
      </c>
      <c r="S92" s="35" t="s">
        <v>5</v>
      </c>
      <c r="T92" s="35" t="s">
        <v>69</v>
      </c>
    </row>
    <row r="93" spans="1:20" x14ac:dyDescent="0.35">
      <c r="A93" s="21" t="str">
        <f>E93&amp;"_"&amp;COUNTIF(E$3:$E93,E93)&amp;"_"&amp;F93</f>
        <v>55_11_Panneaux_bois_massif_placage_int_toiture</v>
      </c>
      <c r="B93" s="36" t="s">
        <v>114</v>
      </c>
      <c r="C93" s="21">
        <v>91</v>
      </c>
      <c r="D93" s="36" t="s">
        <v>114</v>
      </c>
      <c r="E93" s="33">
        <v>55</v>
      </c>
      <c r="F93" s="31" t="s">
        <v>138</v>
      </c>
      <c r="G93" s="36" t="s">
        <v>95</v>
      </c>
      <c r="H93" s="36" t="s">
        <v>60</v>
      </c>
      <c r="I93" s="36" t="s">
        <v>96</v>
      </c>
      <c r="J93" s="36" t="s">
        <v>81</v>
      </c>
      <c r="K93" s="36" t="s">
        <v>84</v>
      </c>
      <c r="L93" s="33" t="s">
        <v>64</v>
      </c>
      <c r="M93" s="33"/>
      <c r="N93" s="33"/>
      <c r="O93" s="33"/>
      <c r="P93" s="33"/>
      <c r="Q93" s="36" t="s">
        <v>17</v>
      </c>
      <c r="R93" s="36" t="s">
        <v>86</v>
      </c>
      <c r="S93" s="36" t="s">
        <v>5</v>
      </c>
      <c r="T93" s="36" t="s">
        <v>68</v>
      </c>
    </row>
    <row r="94" spans="1:20" x14ac:dyDescent="0.35">
      <c r="A94" s="21" t="str">
        <f>E94&amp;"_"&amp;COUNTIF(E$3:$E94,E94)&amp;"_"&amp;F94</f>
        <v>55_12_Panneaux_bois_massif_placage_int_toiture</v>
      </c>
      <c r="B94" s="36" t="s">
        <v>114</v>
      </c>
      <c r="C94" s="21">
        <v>92</v>
      </c>
      <c r="D94" s="36" t="s">
        <v>114</v>
      </c>
      <c r="E94" s="33">
        <v>55</v>
      </c>
      <c r="F94" s="31" t="s">
        <v>138</v>
      </c>
      <c r="G94" s="36" t="s">
        <v>95</v>
      </c>
      <c r="H94" s="36" t="s">
        <v>60</v>
      </c>
      <c r="I94" s="36" t="s">
        <v>96</v>
      </c>
      <c r="J94" s="36" t="s">
        <v>81</v>
      </c>
      <c r="K94" s="36" t="s">
        <v>84</v>
      </c>
      <c r="L94" s="33" t="s">
        <v>64</v>
      </c>
      <c r="M94" s="33"/>
      <c r="N94" s="33"/>
      <c r="O94" s="33"/>
      <c r="P94" s="33"/>
      <c r="Q94" s="36" t="s">
        <v>17</v>
      </c>
      <c r="R94" s="36" t="s">
        <v>86</v>
      </c>
      <c r="S94" s="36" t="s">
        <v>5</v>
      </c>
      <c r="T94" s="36" t="s">
        <v>69</v>
      </c>
    </row>
    <row r="95" spans="1:20" x14ac:dyDescent="0.35">
      <c r="A95" s="21" t="str">
        <f>E95&amp;"_"&amp;COUNTIF(E$3:$E95,E95)&amp;"_"&amp;F95</f>
        <v>57_5_Panneaux_bois_massif_placage_int_toiture</v>
      </c>
      <c r="B95" s="35" t="s">
        <v>115</v>
      </c>
      <c r="C95" s="21">
        <v>93</v>
      </c>
      <c r="D95" s="35" t="s">
        <v>115</v>
      </c>
      <c r="E95" s="31">
        <v>57</v>
      </c>
      <c r="F95" s="31" t="s">
        <v>138</v>
      </c>
      <c r="G95" s="35" t="s">
        <v>95</v>
      </c>
      <c r="H95" s="35" t="s">
        <v>60</v>
      </c>
      <c r="I95" s="35" t="s">
        <v>96</v>
      </c>
      <c r="J95" s="35" t="s">
        <v>81</v>
      </c>
      <c r="K95" s="35" t="s">
        <v>82</v>
      </c>
      <c r="L95" s="35" t="s">
        <v>64</v>
      </c>
      <c r="M95" s="31"/>
      <c r="N95" s="31"/>
      <c r="O95" s="31"/>
      <c r="P95" s="31"/>
      <c r="Q95" s="35" t="s">
        <v>17</v>
      </c>
      <c r="R95" s="35" t="s">
        <v>86</v>
      </c>
      <c r="S95" s="35" t="s">
        <v>5</v>
      </c>
      <c r="T95" s="35" t="s">
        <v>74</v>
      </c>
    </row>
    <row r="96" spans="1:20" x14ac:dyDescent="0.35">
      <c r="A96" s="21" t="str">
        <f>E96&amp;"_"&amp;COUNTIF(E$3:$E96,E96)&amp;"_"&amp;F96</f>
        <v>57_6_Panneaux_bois_massif_placage_int_toiture</v>
      </c>
      <c r="B96" s="35" t="s">
        <v>115</v>
      </c>
      <c r="C96" s="21">
        <v>94</v>
      </c>
      <c r="D96" s="35" t="s">
        <v>115</v>
      </c>
      <c r="E96" s="31">
        <v>57</v>
      </c>
      <c r="F96" s="31" t="s">
        <v>138</v>
      </c>
      <c r="G96" s="35" t="s">
        <v>95</v>
      </c>
      <c r="H96" s="35" t="s">
        <v>60</v>
      </c>
      <c r="I96" s="35" t="s">
        <v>96</v>
      </c>
      <c r="J96" s="35" t="s">
        <v>81</v>
      </c>
      <c r="K96" s="35" t="s">
        <v>82</v>
      </c>
      <c r="L96" s="35" t="s">
        <v>64</v>
      </c>
      <c r="M96" s="31"/>
      <c r="N96" s="31"/>
      <c r="O96" s="31"/>
      <c r="P96" s="31"/>
      <c r="Q96" s="35" t="s">
        <v>17</v>
      </c>
      <c r="R96" s="35" t="s">
        <v>86</v>
      </c>
      <c r="S96" s="35" t="s">
        <v>5</v>
      </c>
      <c r="T96" s="35" t="s">
        <v>75</v>
      </c>
    </row>
    <row r="97" spans="1:20" x14ac:dyDescent="0.35">
      <c r="A97" s="21" t="str">
        <f>E97&amp;"_"&amp;COUNTIF(E$3:$E97,E97)&amp;"_"&amp;F97</f>
        <v>57_7_Panneaux_bois_massif_placage_int_toiture</v>
      </c>
      <c r="B97" s="36" t="s">
        <v>116</v>
      </c>
      <c r="C97" s="21">
        <v>95</v>
      </c>
      <c r="D97" s="36" t="s">
        <v>116</v>
      </c>
      <c r="E97" s="33">
        <v>57</v>
      </c>
      <c r="F97" s="31" t="s">
        <v>138</v>
      </c>
      <c r="G97" s="36" t="s">
        <v>95</v>
      </c>
      <c r="H97" s="36" t="s">
        <v>60</v>
      </c>
      <c r="I97" s="36" t="s">
        <v>96</v>
      </c>
      <c r="J97" s="36" t="s">
        <v>81</v>
      </c>
      <c r="K97" s="36" t="s">
        <v>84</v>
      </c>
      <c r="L97" s="36" t="s">
        <v>64</v>
      </c>
      <c r="M97" s="33"/>
      <c r="N97" s="33"/>
      <c r="O97" s="33"/>
      <c r="P97" s="33"/>
      <c r="Q97" s="36" t="s">
        <v>17</v>
      </c>
      <c r="R97" s="36" t="s">
        <v>86</v>
      </c>
      <c r="S97" s="36" t="s">
        <v>5</v>
      </c>
      <c r="T97" s="36" t="s">
        <v>74</v>
      </c>
    </row>
    <row r="98" spans="1:20" x14ac:dyDescent="0.35">
      <c r="A98" s="21" t="str">
        <f>E98&amp;"_"&amp;COUNTIF(E$3:$E98,E98)&amp;"_"&amp;F98</f>
        <v>57_8_Panneaux_bois_massif_placage_int_toiture</v>
      </c>
      <c r="B98" s="36" t="s">
        <v>116</v>
      </c>
      <c r="C98" s="21">
        <v>96</v>
      </c>
      <c r="D98" s="36" t="s">
        <v>116</v>
      </c>
      <c r="E98" s="33">
        <v>57</v>
      </c>
      <c r="F98" s="31" t="s">
        <v>138</v>
      </c>
      <c r="G98" s="36" t="s">
        <v>95</v>
      </c>
      <c r="H98" s="36" t="s">
        <v>60</v>
      </c>
      <c r="I98" s="36" t="s">
        <v>96</v>
      </c>
      <c r="J98" s="36" t="s">
        <v>81</v>
      </c>
      <c r="K98" s="36" t="s">
        <v>84</v>
      </c>
      <c r="L98" s="36" t="s">
        <v>64</v>
      </c>
      <c r="M98" s="33"/>
      <c r="N98" s="33"/>
      <c r="O98" s="33"/>
      <c r="P98" s="33"/>
      <c r="Q98" s="36" t="s">
        <v>17</v>
      </c>
      <c r="R98" s="36" t="s">
        <v>86</v>
      </c>
      <c r="S98" s="36" t="s">
        <v>5</v>
      </c>
      <c r="T98" s="36" t="s">
        <v>75</v>
      </c>
    </row>
    <row r="99" spans="1:20" x14ac:dyDescent="0.35">
      <c r="A99" s="21" t="str">
        <f>E99&amp;"_"&amp;COUNTIF(E$3:$E99,E99)&amp;"_"&amp;F99</f>
        <v>41_1_Panneaux_bois_massif_placage_int_toiture</v>
      </c>
      <c r="B99" s="35" t="s">
        <v>117</v>
      </c>
      <c r="C99" s="21">
        <v>97</v>
      </c>
      <c r="D99" s="35" t="s">
        <v>117</v>
      </c>
      <c r="E99" s="31">
        <v>41</v>
      </c>
      <c r="F99" s="31" t="s">
        <v>138</v>
      </c>
      <c r="G99" s="35" t="s">
        <v>118</v>
      </c>
      <c r="H99" s="35"/>
      <c r="I99" s="35"/>
      <c r="J99" s="35" t="s">
        <v>119</v>
      </c>
      <c r="K99" s="35" t="s">
        <v>120</v>
      </c>
      <c r="L99" s="35" t="s">
        <v>64</v>
      </c>
      <c r="M99" s="31"/>
      <c r="N99" s="31"/>
      <c r="O99" s="31"/>
      <c r="P99" s="31"/>
      <c r="Q99" s="35" t="s">
        <v>17</v>
      </c>
      <c r="R99" s="31"/>
      <c r="S99" s="35"/>
      <c r="T99" s="31"/>
    </row>
    <row r="100" spans="1:20" x14ac:dyDescent="0.35">
      <c r="A100" s="21" t="str">
        <f>E100&amp;"_"&amp;COUNTIF(E$3:$E100,E100)&amp;"_"&amp;F100</f>
        <v>45_8_Panneaux_bois_massif_placage_int_toiture</v>
      </c>
      <c r="B100" s="36" t="s">
        <v>121</v>
      </c>
      <c r="C100" s="21">
        <v>98</v>
      </c>
      <c r="D100" s="36" t="s">
        <v>121</v>
      </c>
      <c r="E100" s="33">
        <v>45</v>
      </c>
      <c r="F100" s="31" t="s">
        <v>138</v>
      </c>
      <c r="G100" s="35" t="s">
        <v>118</v>
      </c>
      <c r="H100" s="36"/>
      <c r="I100" s="36"/>
      <c r="J100" s="36" t="s">
        <v>119</v>
      </c>
      <c r="K100" s="36" t="s">
        <v>120</v>
      </c>
      <c r="L100" s="36" t="s">
        <v>64</v>
      </c>
      <c r="M100" s="33"/>
      <c r="N100" s="33"/>
      <c r="O100" s="33"/>
      <c r="P100" s="33"/>
      <c r="Q100" s="36" t="s">
        <v>17</v>
      </c>
      <c r="R100" s="36" t="s">
        <v>18</v>
      </c>
      <c r="S100" s="36" t="s">
        <v>5</v>
      </c>
      <c r="T100" s="36" t="s">
        <v>68</v>
      </c>
    </row>
    <row r="101" spans="1:20" x14ac:dyDescent="0.35">
      <c r="A101" s="21" t="str">
        <f>E101&amp;"_"&amp;COUNTIF(E$3:$E101,E101)&amp;"_"&amp;F101</f>
        <v>45_9_Panneaux_bois_massif_placage_int_toiture</v>
      </c>
      <c r="B101" s="36" t="s">
        <v>121</v>
      </c>
      <c r="C101" s="21">
        <v>99</v>
      </c>
      <c r="D101" s="36" t="s">
        <v>121</v>
      </c>
      <c r="E101" s="33">
        <v>45</v>
      </c>
      <c r="F101" s="31" t="s">
        <v>138</v>
      </c>
      <c r="G101" s="35" t="s">
        <v>118</v>
      </c>
      <c r="H101" s="33"/>
      <c r="I101" s="33"/>
      <c r="J101" s="36" t="s">
        <v>119</v>
      </c>
      <c r="K101" s="36" t="s">
        <v>120</v>
      </c>
      <c r="L101" s="36" t="s">
        <v>64</v>
      </c>
      <c r="M101" s="33"/>
      <c r="N101" s="33"/>
      <c r="O101" s="33"/>
      <c r="P101" s="33"/>
      <c r="Q101" s="36" t="s">
        <v>17</v>
      </c>
      <c r="R101" s="36" t="s">
        <v>18</v>
      </c>
      <c r="S101" s="36" t="s">
        <v>5</v>
      </c>
      <c r="T101" s="36" t="s">
        <v>69</v>
      </c>
    </row>
    <row r="102" spans="1:20" x14ac:dyDescent="0.35">
      <c r="A102" s="21" t="str">
        <f>E102&amp;"_"&amp;COUNTIF(E$3:$E102,E102)&amp;"_"&amp;F102</f>
        <v>45_10_Panneaux_bois_massif_placage_int_toiture</v>
      </c>
      <c r="B102" s="35" t="s">
        <v>122</v>
      </c>
      <c r="C102" s="21">
        <v>100</v>
      </c>
      <c r="D102" s="35" t="s">
        <v>122</v>
      </c>
      <c r="E102" s="31">
        <v>45</v>
      </c>
      <c r="F102" s="31" t="s">
        <v>138</v>
      </c>
      <c r="G102" s="35" t="s">
        <v>118</v>
      </c>
      <c r="H102" s="31"/>
      <c r="I102" s="31"/>
      <c r="J102" s="35" t="s">
        <v>119</v>
      </c>
      <c r="K102" s="35" t="s">
        <v>120</v>
      </c>
      <c r="L102" s="35" t="s">
        <v>64</v>
      </c>
      <c r="M102" s="31"/>
      <c r="N102" s="31"/>
      <c r="O102" s="31"/>
      <c r="P102" s="31"/>
      <c r="Q102" s="35" t="s">
        <v>17</v>
      </c>
      <c r="R102" s="35" t="s">
        <v>18</v>
      </c>
      <c r="S102" s="35" t="s">
        <v>5</v>
      </c>
      <c r="T102" s="35" t="s">
        <v>74</v>
      </c>
    </row>
    <row r="103" spans="1:20" x14ac:dyDescent="0.35">
      <c r="A103" s="21" t="str">
        <f>E103&amp;"_"&amp;COUNTIF(E$3:$E103,E103)&amp;"_"&amp;F103</f>
        <v>45_11_Panneaux_bois_massif_placage_int_toiture</v>
      </c>
      <c r="B103" s="35" t="s">
        <v>122</v>
      </c>
      <c r="C103" s="21">
        <v>101</v>
      </c>
      <c r="D103" s="35" t="s">
        <v>122</v>
      </c>
      <c r="E103" s="31">
        <v>45</v>
      </c>
      <c r="F103" s="31" t="s">
        <v>138</v>
      </c>
      <c r="G103" s="35" t="s">
        <v>118</v>
      </c>
      <c r="H103" s="31"/>
      <c r="I103" s="31"/>
      <c r="J103" s="35" t="s">
        <v>119</v>
      </c>
      <c r="K103" s="35" t="s">
        <v>120</v>
      </c>
      <c r="L103" s="35" t="s">
        <v>64</v>
      </c>
      <c r="M103" s="31"/>
      <c r="N103" s="31"/>
      <c r="O103" s="31"/>
      <c r="P103" s="31"/>
      <c r="Q103" s="35" t="s">
        <v>17</v>
      </c>
      <c r="R103" s="35" t="s">
        <v>18</v>
      </c>
      <c r="S103" s="35" t="s">
        <v>5</v>
      </c>
      <c r="T103" s="35" t="s">
        <v>75</v>
      </c>
    </row>
    <row r="104" spans="1:20" x14ac:dyDescent="0.35">
      <c r="A104" s="21" t="str">
        <f>E104&amp;"_"&amp;COUNTIF(E$3:$E104,E104)&amp;"_"&amp;F104</f>
        <v>49_3_Panneaux_bois_massif_placage_int_toiture</v>
      </c>
      <c r="B104" s="36" t="s">
        <v>123</v>
      </c>
      <c r="C104" s="21">
        <v>102</v>
      </c>
      <c r="D104" s="36" t="s">
        <v>123</v>
      </c>
      <c r="E104" s="33">
        <v>49</v>
      </c>
      <c r="F104" s="31" t="s">
        <v>138</v>
      </c>
      <c r="G104" s="36" t="s">
        <v>118</v>
      </c>
      <c r="H104" s="33"/>
      <c r="I104" s="33"/>
      <c r="J104" s="36" t="s">
        <v>119</v>
      </c>
      <c r="K104" s="36" t="s">
        <v>120</v>
      </c>
      <c r="L104" s="36" t="s">
        <v>64</v>
      </c>
      <c r="M104" s="33"/>
      <c r="N104" s="33"/>
      <c r="O104" s="33"/>
      <c r="P104" s="33"/>
      <c r="Q104" s="36" t="s">
        <v>17</v>
      </c>
      <c r="R104" s="36" t="s">
        <v>6</v>
      </c>
      <c r="S104" s="36" t="s">
        <v>5</v>
      </c>
      <c r="T104" s="36" t="s">
        <v>68</v>
      </c>
    </row>
    <row r="105" spans="1:20" x14ac:dyDescent="0.35">
      <c r="A105" s="21" t="str">
        <f>E105&amp;"_"&amp;COUNTIF(E$3:$E105,E105)&amp;"_"&amp;F105</f>
        <v>49_4_Panneaux_bois_massif_placage_int_toiture</v>
      </c>
      <c r="B105" s="36" t="s">
        <v>123</v>
      </c>
      <c r="C105" s="21">
        <v>103</v>
      </c>
      <c r="D105" s="36" t="s">
        <v>123</v>
      </c>
      <c r="E105" s="33">
        <v>49</v>
      </c>
      <c r="F105" s="31" t="s">
        <v>138</v>
      </c>
      <c r="G105" s="36" t="s">
        <v>118</v>
      </c>
      <c r="H105" s="33"/>
      <c r="I105" s="33"/>
      <c r="J105" s="36" t="s">
        <v>119</v>
      </c>
      <c r="K105" s="36" t="s">
        <v>120</v>
      </c>
      <c r="L105" s="36" t="s">
        <v>64</v>
      </c>
      <c r="M105" s="33"/>
      <c r="N105" s="33"/>
      <c r="O105" s="33"/>
      <c r="P105" s="33"/>
      <c r="Q105" s="36" t="s">
        <v>17</v>
      </c>
      <c r="R105" s="36" t="s">
        <v>6</v>
      </c>
      <c r="S105" s="36" t="s">
        <v>5</v>
      </c>
      <c r="T105" s="36" t="s">
        <v>69</v>
      </c>
    </row>
    <row r="106" spans="1:20" x14ac:dyDescent="0.35">
      <c r="A106" s="21" t="str">
        <f>E106&amp;"_"&amp;COUNTIF(E$3:$E106,E106)&amp;"_"&amp;F106</f>
        <v>53_1_Panneaux_bois_massif_placage_int_toiture</v>
      </c>
      <c r="B106" s="35" t="s">
        <v>124</v>
      </c>
      <c r="C106" s="21">
        <v>104</v>
      </c>
      <c r="D106" s="35" t="s">
        <v>124</v>
      </c>
      <c r="E106" s="31">
        <v>53</v>
      </c>
      <c r="F106" s="31" t="s">
        <v>138</v>
      </c>
      <c r="G106" s="35" t="s">
        <v>118</v>
      </c>
      <c r="H106" s="31"/>
      <c r="I106" s="31"/>
      <c r="J106" s="35" t="s">
        <v>119</v>
      </c>
      <c r="K106" s="35" t="s">
        <v>120</v>
      </c>
      <c r="L106" s="35" t="s">
        <v>64</v>
      </c>
      <c r="M106" s="31"/>
      <c r="N106" s="31"/>
      <c r="O106" s="31"/>
      <c r="P106" s="31"/>
      <c r="Q106" s="35" t="s">
        <v>17</v>
      </c>
      <c r="R106" s="35" t="s">
        <v>6</v>
      </c>
      <c r="S106" s="35" t="s">
        <v>5</v>
      </c>
      <c r="T106" s="35" t="s">
        <v>74</v>
      </c>
    </row>
    <row r="107" spans="1:20" x14ac:dyDescent="0.35">
      <c r="A107" s="21" t="str">
        <f>E107&amp;"_"&amp;COUNTIF(E$3:$E107,E107)&amp;"_"&amp;F107</f>
        <v>53_2_Panneaux_bois_massif_placage_int_toiture</v>
      </c>
      <c r="B107" s="35" t="s">
        <v>124</v>
      </c>
      <c r="C107" s="21">
        <v>105</v>
      </c>
      <c r="D107" s="35" t="s">
        <v>124</v>
      </c>
      <c r="E107" s="31">
        <v>53</v>
      </c>
      <c r="F107" s="31" t="s">
        <v>138</v>
      </c>
      <c r="G107" s="35" t="s">
        <v>118</v>
      </c>
      <c r="H107" s="31"/>
      <c r="I107" s="31"/>
      <c r="J107" s="35" t="s">
        <v>119</v>
      </c>
      <c r="K107" s="35" t="s">
        <v>120</v>
      </c>
      <c r="L107" s="35" t="s">
        <v>64</v>
      </c>
      <c r="M107" s="31"/>
      <c r="N107" s="31"/>
      <c r="O107" s="31"/>
      <c r="P107" s="31"/>
      <c r="Q107" s="35" t="s">
        <v>17</v>
      </c>
      <c r="R107" s="35" t="s">
        <v>6</v>
      </c>
      <c r="S107" s="35" t="s">
        <v>5</v>
      </c>
      <c r="T107" s="35" t="s">
        <v>75</v>
      </c>
    </row>
    <row r="108" spans="1:20" x14ac:dyDescent="0.35">
      <c r="A108" s="21" t="str">
        <f>E108&amp;"_"&amp;COUNTIF(E$3:$E108,E108)&amp;"_"&amp;F108</f>
        <v>57_9_Panneaux_bois_massif_placage_int_toiture</v>
      </c>
      <c r="B108" s="36" t="s">
        <v>125</v>
      </c>
      <c r="C108" s="21">
        <v>106</v>
      </c>
      <c r="D108" s="36" t="s">
        <v>125</v>
      </c>
      <c r="E108" s="33">
        <v>57</v>
      </c>
      <c r="F108" s="31" t="s">
        <v>138</v>
      </c>
      <c r="G108" s="36" t="s">
        <v>126</v>
      </c>
      <c r="H108" s="33"/>
      <c r="I108" s="33"/>
      <c r="J108" s="36" t="s">
        <v>119</v>
      </c>
      <c r="K108" s="36" t="s">
        <v>120</v>
      </c>
      <c r="L108" s="36" t="s">
        <v>64</v>
      </c>
      <c r="M108" s="33"/>
      <c r="N108" s="33"/>
      <c r="O108" s="33"/>
      <c r="P108" s="33"/>
      <c r="Q108" s="36" t="s">
        <v>17</v>
      </c>
      <c r="R108" s="33"/>
      <c r="S108" s="33"/>
      <c r="T108" s="33"/>
    </row>
    <row r="109" spans="1:20" x14ac:dyDescent="0.35">
      <c r="A109" s="21" t="str">
        <f>E109&amp;"_"&amp;COUNTIF(E$3:$E109,E109)&amp;"_"&amp;F109</f>
        <v>57_10_Panneaux_bois_massif_placage_int_toiture</v>
      </c>
      <c r="B109" s="36" t="s">
        <v>125</v>
      </c>
      <c r="C109" s="21">
        <v>107</v>
      </c>
      <c r="D109" s="36" t="s">
        <v>125</v>
      </c>
      <c r="E109" s="33">
        <v>57</v>
      </c>
      <c r="F109" s="31" t="s">
        <v>138</v>
      </c>
      <c r="G109" s="36" t="s">
        <v>126</v>
      </c>
      <c r="H109" s="33"/>
      <c r="I109" s="33"/>
      <c r="J109" s="36" t="s">
        <v>119</v>
      </c>
      <c r="K109" s="36" t="s">
        <v>120</v>
      </c>
      <c r="L109" s="36" t="s">
        <v>64</v>
      </c>
      <c r="M109" s="33"/>
      <c r="N109" s="33"/>
      <c r="O109" s="33"/>
      <c r="P109" s="33"/>
      <c r="Q109" s="36" t="s">
        <v>17</v>
      </c>
      <c r="R109" s="33"/>
      <c r="S109" s="33"/>
      <c r="T109" s="33"/>
    </row>
    <row r="110" spans="1:20" x14ac:dyDescent="0.35">
      <c r="A110" s="21" t="str">
        <f>E110&amp;"_"&amp;COUNTIF(E$3:$E110,E110)&amp;"_"&amp;F110</f>
        <v>63_1_Panneaux_bois_massif_placage_int_toiture</v>
      </c>
      <c r="B110" s="35" t="s">
        <v>127</v>
      </c>
      <c r="C110" s="21">
        <v>108</v>
      </c>
      <c r="D110" s="35" t="s">
        <v>127</v>
      </c>
      <c r="E110" s="31">
        <v>63</v>
      </c>
      <c r="F110" s="31" t="s">
        <v>138</v>
      </c>
      <c r="G110" s="35" t="s">
        <v>126</v>
      </c>
      <c r="H110" s="31"/>
      <c r="I110" s="31"/>
      <c r="J110" s="35" t="s">
        <v>119</v>
      </c>
      <c r="K110" s="35" t="s">
        <v>120</v>
      </c>
      <c r="L110" s="35" t="s">
        <v>64</v>
      </c>
      <c r="M110" s="31"/>
      <c r="N110" s="31"/>
      <c r="O110" s="31"/>
      <c r="P110" s="31"/>
      <c r="Q110" s="35" t="s">
        <v>17</v>
      </c>
      <c r="R110" s="35" t="s">
        <v>128</v>
      </c>
      <c r="S110" s="35" t="s">
        <v>5</v>
      </c>
      <c r="T110" s="35" t="s">
        <v>68</v>
      </c>
    </row>
    <row r="111" spans="1:20" x14ac:dyDescent="0.35">
      <c r="A111" s="21" t="str">
        <f>E111&amp;"_"&amp;COUNTIF(E$3:$E111,E111)&amp;"_"&amp;F111</f>
        <v>63_2_Panneaux_bois_massif_placage_int_toiture</v>
      </c>
      <c r="B111" s="35" t="s">
        <v>127</v>
      </c>
      <c r="C111" s="21">
        <v>109</v>
      </c>
      <c r="D111" s="35" t="s">
        <v>127</v>
      </c>
      <c r="E111" s="31">
        <v>63</v>
      </c>
      <c r="F111" s="31" t="s">
        <v>138</v>
      </c>
      <c r="G111" s="35" t="s">
        <v>126</v>
      </c>
      <c r="H111" s="31"/>
      <c r="I111" s="31"/>
      <c r="J111" s="35" t="s">
        <v>119</v>
      </c>
      <c r="K111" s="35" t="s">
        <v>120</v>
      </c>
      <c r="L111" s="35" t="s">
        <v>64</v>
      </c>
      <c r="M111" s="31"/>
      <c r="N111" s="31"/>
      <c r="O111" s="31"/>
      <c r="P111" s="31"/>
      <c r="Q111" s="35" t="s">
        <v>17</v>
      </c>
      <c r="R111" s="35" t="s">
        <v>128</v>
      </c>
      <c r="S111" s="35" t="s">
        <v>5</v>
      </c>
      <c r="T111" s="35" t="s">
        <v>69</v>
      </c>
    </row>
    <row r="112" spans="1:20" x14ac:dyDescent="0.35">
      <c r="A112" s="21" t="str">
        <f>E112&amp;"_"&amp;COUNTIF(E$3:$E112,E112)&amp;"_"&amp;F112</f>
        <v>63_3_Panneaux_bois_massif_placage_int_toiture</v>
      </c>
      <c r="B112" s="36" t="s">
        <v>129</v>
      </c>
      <c r="C112" s="21">
        <v>110</v>
      </c>
      <c r="D112" s="36" t="s">
        <v>129</v>
      </c>
      <c r="E112" s="33">
        <v>63</v>
      </c>
      <c r="F112" s="31" t="s">
        <v>138</v>
      </c>
      <c r="G112" s="36" t="s">
        <v>126</v>
      </c>
      <c r="H112" s="33"/>
      <c r="I112" s="33"/>
      <c r="J112" s="36" t="s">
        <v>119</v>
      </c>
      <c r="K112" s="36" t="s">
        <v>120</v>
      </c>
      <c r="L112" s="36" t="s">
        <v>64</v>
      </c>
      <c r="M112" s="33"/>
      <c r="N112" s="33"/>
      <c r="O112" s="33"/>
      <c r="P112" s="33"/>
      <c r="Q112" s="36" t="s">
        <v>17</v>
      </c>
      <c r="R112" s="36" t="s">
        <v>128</v>
      </c>
      <c r="S112" s="36" t="s">
        <v>5</v>
      </c>
      <c r="T112" s="36" t="s">
        <v>74</v>
      </c>
    </row>
    <row r="113" spans="1:20" x14ac:dyDescent="0.35">
      <c r="A113" s="21" t="str">
        <f>E113&amp;"_"&amp;COUNTIF(E$3:$E113,E113)&amp;"_"&amp;F113</f>
        <v>63_4_Panneaux_bois_massif_placage_int_toiture</v>
      </c>
      <c r="B113" s="36" t="s">
        <v>129</v>
      </c>
      <c r="C113" s="21">
        <v>111</v>
      </c>
      <c r="D113" s="36" t="s">
        <v>129</v>
      </c>
      <c r="E113" s="33">
        <v>63</v>
      </c>
      <c r="F113" s="31" t="s">
        <v>138</v>
      </c>
      <c r="G113" s="36" t="s">
        <v>126</v>
      </c>
      <c r="H113" s="33"/>
      <c r="I113" s="33"/>
      <c r="J113" s="36" t="s">
        <v>119</v>
      </c>
      <c r="K113" s="36" t="s">
        <v>120</v>
      </c>
      <c r="L113" s="36" t="s">
        <v>64</v>
      </c>
      <c r="M113" s="33"/>
      <c r="N113" s="33"/>
      <c r="O113" s="33"/>
      <c r="P113" s="33"/>
      <c r="Q113" s="36" t="s">
        <v>17</v>
      </c>
      <c r="R113" s="36" t="s">
        <v>128</v>
      </c>
      <c r="S113" s="36" t="s">
        <v>5</v>
      </c>
      <c r="T113" s="36" t="s">
        <v>75</v>
      </c>
    </row>
    <row r="114" spans="1:20" x14ac:dyDescent="0.35">
      <c r="A114" s="21" t="str">
        <f>E114&amp;"_"&amp;COUNTIF(E$3:$E114,E114)&amp;"_"&amp;F114</f>
        <v>65_1_Panneaux_bois_massif_placage_int_toiture</v>
      </c>
      <c r="B114" s="35" t="s">
        <v>130</v>
      </c>
      <c r="C114" s="21">
        <v>112</v>
      </c>
      <c r="D114" s="35" t="s">
        <v>130</v>
      </c>
      <c r="E114" s="31">
        <v>65</v>
      </c>
      <c r="F114" s="31" t="s">
        <v>138</v>
      </c>
      <c r="G114" s="35" t="s">
        <v>126</v>
      </c>
      <c r="H114" s="31"/>
      <c r="I114" s="31"/>
      <c r="J114" s="35" t="s">
        <v>119</v>
      </c>
      <c r="K114" s="35" t="s">
        <v>120</v>
      </c>
      <c r="L114" s="35" t="s">
        <v>64</v>
      </c>
      <c r="M114" s="31"/>
      <c r="N114" s="31"/>
      <c r="O114" s="31"/>
      <c r="P114" s="31"/>
      <c r="Q114" s="35" t="s">
        <v>17</v>
      </c>
      <c r="R114" s="35" t="s">
        <v>6</v>
      </c>
      <c r="S114" s="35" t="s">
        <v>5</v>
      </c>
      <c r="T114" s="35" t="s">
        <v>68</v>
      </c>
    </row>
    <row r="115" spans="1:20" x14ac:dyDescent="0.35">
      <c r="A115" s="21" t="str">
        <f>E115&amp;"_"&amp;COUNTIF(E$3:$E115,E115)&amp;"_"&amp;F115</f>
        <v>65_2_Panneaux_bois_massif_placage_int_toiture</v>
      </c>
      <c r="B115" s="35" t="s">
        <v>130</v>
      </c>
      <c r="C115" s="21">
        <v>113</v>
      </c>
      <c r="D115" s="35" t="s">
        <v>130</v>
      </c>
      <c r="E115" s="31">
        <v>65</v>
      </c>
      <c r="F115" s="31" t="s">
        <v>138</v>
      </c>
      <c r="G115" s="35" t="s">
        <v>126</v>
      </c>
      <c r="H115" s="31"/>
      <c r="I115" s="31"/>
      <c r="J115" s="35" t="s">
        <v>119</v>
      </c>
      <c r="K115" s="35" t="s">
        <v>120</v>
      </c>
      <c r="L115" s="35" t="s">
        <v>64</v>
      </c>
      <c r="M115" s="31"/>
      <c r="N115" s="31"/>
      <c r="O115" s="31"/>
      <c r="P115" s="31"/>
      <c r="Q115" s="35" t="s">
        <v>17</v>
      </c>
      <c r="R115" s="35" t="s">
        <v>6</v>
      </c>
      <c r="S115" s="35" t="s">
        <v>5</v>
      </c>
      <c r="T115" s="35" t="s">
        <v>69</v>
      </c>
    </row>
    <row r="116" spans="1:20" x14ac:dyDescent="0.35">
      <c r="A116" s="21" t="str">
        <f>E116&amp;"_"&amp;COUNTIF(E$3:$E116,E116)&amp;"_"&amp;F116</f>
        <v>65_3_Panneaux_bois_massif_placage_int_toiture</v>
      </c>
      <c r="B116" s="36" t="s">
        <v>131</v>
      </c>
      <c r="C116" s="21">
        <v>114</v>
      </c>
      <c r="D116" s="36" t="s">
        <v>131</v>
      </c>
      <c r="E116" s="33">
        <v>65</v>
      </c>
      <c r="F116" s="31" t="s">
        <v>138</v>
      </c>
      <c r="G116" s="36" t="s">
        <v>126</v>
      </c>
      <c r="H116" s="33"/>
      <c r="I116" s="33"/>
      <c r="J116" s="36" t="s">
        <v>119</v>
      </c>
      <c r="K116" s="36" t="s">
        <v>120</v>
      </c>
      <c r="L116" s="36" t="s">
        <v>64</v>
      </c>
      <c r="M116" s="33"/>
      <c r="N116" s="33"/>
      <c r="O116" s="33"/>
      <c r="P116" s="33"/>
      <c r="Q116" s="36" t="s">
        <v>17</v>
      </c>
      <c r="R116" s="36" t="s">
        <v>6</v>
      </c>
      <c r="S116" s="36" t="s">
        <v>5</v>
      </c>
      <c r="T116" s="36" t="s">
        <v>74</v>
      </c>
    </row>
    <row r="117" spans="1:20" x14ac:dyDescent="0.35">
      <c r="A117" s="21" t="str">
        <f>E117&amp;"_"&amp;COUNTIF(E$3:$E117,E117)&amp;"_"&amp;F117</f>
        <v>65_4_Panneaux_bois_massif_placage_int_toiture</v>
      </c>
      <c r="B117" s="36" t="s">
        <v>131</v>
      </c>
      <c r="C117" s="21">
        <v>115</v>
      </c>
      <c r="D117" s="36" t="s">
        <v>131</v>
      </c>
      <c r="E117" s="33">
        <v>65</v>
      </c>
      <c r="F117" s="31" t="s">
        <v>138</v>
      </c>
      <c r="G117" s="36" t="s">
        <v>126</v>
      </c>
      <c r="H117" s="33"/>
      <c r="I117" s="33"/>
      <c r="J117" s="36" t="s">
        <v>119</v>
      </c>
      <c r="K117" s="36" t="s">
        <v>120</v>
      </c>
      <c r="L117" s="36" t="s">
        <v>64</v>
      </c>
      <c r="M117" s="33"/>
      <c r="N117" s="33"/>
      <c r="O117" s="33"/>
      <c r="P117" s="33"/>
      <c r="Q117" s="36" t="s">
        <v>17</v>
      </c>
      <c r="R117" s="36" t="s">
        <v>6</v>
      </c>
      <c r="S117" s="36" t="s">
        <v>5</v>
      </c>
      <c r="T117" s="36" t="s">
        <v>75</v>
      </c>
    </row>
    <row r="118" spans="1:20" x14ac:dyDescent="0.35">
      <c r="A118" s="19"/>
      <c r="B118" s="19"/>
      <c r="C118" s="19"/>
      <c r="D118"/>
      <c r="E118"/>
    </row>
    <row r="119" spans="1:20" x14ac:dyDescent="0.35">
      <c r="A119" s="19"/>
      <c r="B119" s="19"/>
      <c r="C119" s="19"/>
      <c r="D119"/>
      <c r="E119"/>
    </row>
    <row r="120" spans="1:20" x14ac:dyDescent="0.35">
      <c r="A120" s="19"/>
      <c r="B120" s="19"/>
      <c r="C120" s="19"/>
      <c r="D120"/>
      <c r="E120"/>
    </row>
    <row r="121" spans="1:20" x14ac:dyDescent="0.35">
      <c r="A121" s="19"/>
      <c r="B121" s="19"/>
      <c r="C121" s="19"/>
      <c r="D121"/>
      <c r="E121"/>
    </row>
    <row r="122" spans="1:20" x14ac:dyDescent="0.35">
      <c r="A122" s="19"/>
      <c r="B122" s="19"/>
      <c r="C122" s="19"/>
      <c r="D122"/>
      <c r="E122"/>
    </row>
    <row r="123" spans="1:20" x14ac:dyDescent="0.35">
      <c r="A123" s="19"/>
      <c r="B123" s="19"/>
      <c r="C123" s="19"/>
      <c r="D123"/>
      <c r="E123"/>
    </row>
    <row r="124" spans="1:20" x14ac:dyDescent="0.35">
      <c r="A124" s="19"/>
      <c r="B124" s="19"/>
      <c r="C124" s="19"/>
      <c r="D124"/>
      <c r="E124"/>
    </row>
    <row r="125" spans="1:20" x14ac:dyDescent="0.35">
      <c r="A125" s="19"/>
      <c r="B125" s="19"/>
      <c r="C125" s="19"/>
      <c r="D125"/>
      <c r="E125"/>
    </row>
    <row r="126" spans="1:20" x14ac:dyDescent="0.35">
      <c r="A126" s="19"/>
      <c r="B126" s="19"/>
      <c r="C126" s="19"/>
      <c r="D126"/>
      <c r="E126"/>
    </row>
    <row r="127" spans="1:20" x14ac:dyDescent="0.35">
      <c r="A127" s="19"/>
      <c r="B127" s="19"/>
      <c r="C127" s="19"/>
      <c r="D127"/>
      <c r="E127"/>
    </row>
    <row r="128" spans="1:20" x14ac:dyDescent="0.35">
      <c r="A128" s="19"/>
      <c r="B128" s="19"/>
      <c r="C128" s="19"/>
      <c r="D128"/>
      <c r="E128"/>
    </row>
    <row r="129" spans="1:5" x14ac:dyDescent="0.35">
      <c r="A129" s="19"/>
      <c r="B129" s="19"/>
      <c r="C129" s="19"/>
      <c r="D129"/>
      <c r="E129"/>
    </row>
    <row r="130" spans="1:5" x14ac:dyDescent="0.35">
      <c r="A130" s="19"/>
      <c r="B130" s="19"/>
      <c r="C130" s="19"/>
      <c r="D130"/>
      <c r="E130"/>
    </row>
    <row r="131" spans="1:5" x14ac:dyDescent="0.35">
      <c r="A131" s="19"/>
      <c r="B131" s="19"/>
      <c r="C131" s="19"/>
      <c r="D131"/>
      <c r="E131"/>
    </row>
    <row r="132" spans="1:5" x14ac:dyDescent="0.35">
      <c r="A132" s="19"/>
      <c r="B132" s="19"/>
      <c r="C132" s="19"/>
      <c r="D132"/>
      <c r="E132"/>
    </row>
    <row r="133" spans="1:5" x14ac:dyDescent="0.35">
      <c r="A133" s="19"/>
      <c r="B133" s="19"/>
      <c r="C133" s="19"/>
      <c r="D133"/>
      <c r="E133"/>
    </row>
    <row r="134" spans="1:5" x14ac:dyDescent="0.35">
      <c r="A134" s="19"/>
      <c r="B134" s="19"/>
      <c r="C134" s="19"/>
      <c r="D134"/>
      <c r="E134"/>
    </row>
    <row r="135" spans="1:5" x14ac:dyDescent="0.35">
      <c r="A135" s="19"/>
      <c r="B135" s="19"/>
      <c r="C135" s="19"/>
      <c r="D135"/>
      <c r="E135"/>
    </row>
    <row r="136" spans="1:5" x14ac:dyDescent="0.35">
      <c r="A136" s="19"/>
      <c r="B136" s="19"/>
      <c r="C136" s="19"/>
      <c r="D136"/>
      <c r="E136"/>
    </row>
    <row r="137" spans="1:5" x14ac:dyDescent="0.35">
      <c r="A137" s="19"/>
      <c r="B137" s="19"/>
      <c r="C137" s="19"/>
      <c r="D137"/>
      <c r="E137"/>
    </row>
    <row r="138" spans="1:5" x14ac:dyDescent="0.35">
      <c r="A138" s="19"/>
      <c r="B138" s="19"/>
      <c r="C138" s="19"/>
      <c r="D138"/>
      <c r="E138"/>
    </row>
    <row r="139" spans="1:5" x14ac:dyDescent="0.35">
      <c r="A139" s="19"/>
      <c r="B139" s="19"/>
      <c r="C139" s="19"/>
      <c r="D139"/>
      <c r="E139"/>
    </row>
    <row r="140" spans="1:5" x14ac:dyDescent="0.35">
      <c r="A140" s="19"/>
      <c r="B140" s="19"/>
      <c r="C140" s="19"/>
      <c r="D140"/>
      <c r="E140"/>
    </row>
    <row r="141" spans="1:5" x14ac:dyDescent="0.35">
      <c r="A141" s="19"/>
      <c r="B141" s="19"/>
      <c r="C141" s="19"/>
      <c r="D141"/>
      <c r="E141"/>
    </row>
    <row r="142" spans="1:5" x14ac:dyDescent="0.35">
      <c r="A142" s="19"/>
      <c r="B142" s="19"/>
      <c r="C142" s="19"/>
      <c r="D142"/>
      <c r="E142"/>
    </row>
    <row r="143" spans="1:5" x14ac:dyDescent="0.35">
      <c r="A143" s="19"/>
      <c r="B143" s="19"/>
      <c r="C143" s="19"/>
      <c r="D143"/>
      <c r="E143"/>
    </row>
    <row r="144" spans="1:5" x14ac:dyDescent="0.35">
      <c r="A144" s="19"/>
      <c r="B144" s="19"/>
      <c r="C144" s="19"/>
      <c r="D144"/>
      <c r="E144"/>
    </row>
    <row r="145" spans="1:5" x14ac:dyDescent="0.35">
      <c r="A145" s="19"/>
      <c r="B145" s="19"/>
      <c r="C145" s="19"/>
      <c r="D145"/>
      <c r="E145"/>
    </row>
    <row r="146" spans="1:5" x14ac:dyDescent="0.35">
      <c r="A146" s="19"/>
      <c r="B146" s="19"/>
      <c r="C146" s="19"/>
      <c r="D146"/>
      <c r="E146"/>
    </row>
    <row r="147" spans="1:5" x14ac:dyDescent="0.35">
      <c r="A147" s="19"/>
      <c r="B147" s="19"/>
      <c r="C147" s="19"/>
      <c r="D147"/>
      <c r="E147"/>
    </row>
    <row r="148" spans="1:5" x14ac:dyDescent="0.35">
      <c r="A148" s="19"/>
      <c r="B148" s="19"/>
      <c r="C148" s="19"/>
      <c r="D148"/>
      <c r="E148"/>
    </row>
    <row r="149" spans="1:5" x14ac:dyDescent="0.35">
      <c r="A149" s="19"/>
      <c r="B149" s="19"/>
      <c r="C149" s="19"/>
      <c r="D149"/>
      <c r="E149"/>
    </row>
    <row r="150" spans="1:5" x14ac:dyDescent="0.35">
      <c r="A150" s="19"/>
      <c r="B150" s="19"/>
      <c r="C150" s="19"/>
      <c r="D150"/>
      <c r="E150"/>
    </row>
    <row r="151" spans="1:5" x14ac:dyDescent="0.35">
      <c r="A151" s="19"/>
      <c r="B151" s="19"/>
      <c r="C151" s="19"/>
      <c r="D151"/>
      <c r="E151"/>
    </row>
    <row r="152" spans="1:5" x14ac:dyDescent="0.35">
      <c r="A152" s="19"/>
      <c r="B152" s="19"/>
      <c r="C152" s="19"/>
      <c r="D152"/>
      <c r="E152"/>
    </row>
    <row r="153" spans="1:5" x14ac:dyDescent="0.35">
      <c r="A153" s="19"/>
      <c r="B153" s="19"/>
      <c r="C153" s="19"/>
      <c r="D153"/>
      <c r="E153"/>
    </row>
    <row r="154" spans="1:5" x14ac:dyDescent="0.35">
      <c r="A154" s="19"/>
      <c r="B154" s="19"/>
      <c r="C154" s="19"/>
      <c r="D154"/>
      <c r="E154"/>
    </row>
    <row r="155" spans="1:5" x14ac:dyDescent="0.35">
      <c r="A155" s="19"/>
      <c r="B155" s="19"/>
      <c r="C155" s="19"/>
      <c r="D155"/>
      <c r="E155"/>
    </row>
    <row r="156" spans="1:5" x14ac:dyDescent="0.35">
      <c r="A156" s="19"/>
      <c r="B156" s="19"/>
      <c r="C156" s="19"/>
      <c r="D156"/>
      <c r="E156"/>
    </row>
    <row r="157" spans="1:5" x14ac:dyDescent="0.35">
      <c r="A157" s="19"/>
      <c r="B157" s="19"/>
      <c r="C157" s="19"/>
      <c r="D157"/>
      <c r="E157"/>
    </row>
    <row r="158" spans="1:5" x14ac:dyDescent="0.35">
      <c r="A158" s="19"/>
      <c r="B158" s="19"/>
      <c r="C158" s="19"/>
      <c r="D158"/>
      <c r="E158"/>
    </row>
    <row r="159" spans="1:5" x14ac:dyDescent="0.35">
      <c r="A159" s="19"/>
      <c r="B159" s="19"/>
      <c r="C159" s="19"/>
      <c r="D159"/>
      <c r="E159"/>
    </row>
    <row r="160" spans="1:5" x14ac:dyDescent="0.35">
      <c r="A160" s="19"/>
      <c r="B160" s="19"/>
      <c r="C160" s="19"/>
      <c r="D160"/>
      <c r="E160"/>
    </row>
    <row r="161" spans="1:5" x14ac:dyDescent="0.35">
      <c r="A161" s="19"/>
      <c r="B161" s="19"/>
      <c r="C161" s="19"/>
      <c r="D161"/>
      <c r="E161"/>
    </row>
    <row r="162" spans="1:5" x14ac:dyDescent="0.35">
      <c r="A162" s="19"/>
      <c r="B162" s="19"/>
      <c r="C162" s="19"/>
      <c r="D162"/>
      <c r="E162"/>
    </row>
    <row r="163" spans="1:5" x14ac:dyDescent="0.35">
      <c r="A163" s="19"/>
      <c r="B163" s="19"/>
      <c r="C163" s="19"/>
      <c r="D163"/>
      <c r="E163"/>
    </row>
    <row r="164" spans="1:5" x14ac:dyDescent="0.35">
      <c r="A164" s="19"/>
      <c r="B164" s="19"/>
      <c r="C164" s="19"/>
      <c r="D164"/>
      <c r="E164"/>
    </row>
    <row r="165" spans="1:5" x14ac:dyDescent="0.35">
      <c r="A165" s="19"/>
      <c r="B165" s="19"/>
      <c r="C165" s="19"/>
      <c r="D165"/>
      <c r="E165"/>
    </row>
    <row r="166" spans="1:5" x14ac:dyDescent="0.35">
      <c r="A166" s="19"/>
      <c r="B166" s="19"/>
      <c r="C166" s="19"/>
      <c r="D166"/>
      <c r="E166"/>
    </row>
    <row r="167" spans="1:5" x14ac:dyDescent="0.35">
      <c r="A167" s="19"/>
      <c r="B167" s="19"/>
      <c r="C167" s="19"/>
      <c r="D167"/>
      <c r="E167"/>
    </row>
    <row r="168" spans="1:5" x14ac:dyDescent="0.35">
      <c r="A168" s="19"/>
      <c r="B168" s="19"/>
      <c r="C168" s="19"/>
      <c r="D168"/>
      <c r="E168"/>
    </row>
    <row r="169" spans="1:5" x14ac:dyDescent="0.35">
      <c r="A169" s="19"/>
      <c r="B169" s="19"/>
      <c r="C169" s="19"/>
      <c r="D169"/>
      <c r="E169"/>
    </row>
    <row r="170" spans="1:5" x14ac:dyDescent="0.35">
      <c r="A170" s="19"/>
      <c r="B170" s="19"/>
      <c r="C170" s="19"/>
      <c r="D170"/>
      <c r="E170"/>
    </row>
    <row r="171" spans="1:5" x14ac:dyDescent="0.35">
      <c r="A171" s="19"/>
      <c r="B171" s="19"/>
      <c r="C171" s="19"/>
      <c r="D171"/>
      <c r="E171"/>
    </row>
    <row r="172" spans="1:5" x14ac:dyDescent="0.35">
      <c r="A172" s="19"/>
      <c r="B172" s="19"/>
      <c r="C172" s="19"/>
      <c r="D172"/>
      <c r="E172"/>
    </row>
    <row r="173" spans="1:5" x14ac:dyDescent="0.35">
      <c r="A173" s="19"/>
      <c r="B173" s="19"/>
      <c r="C173" s="19"/>
      <c r="D173"/>
      <c r="E173"/>
    </row>
    <row r="174" spans="1:5" x14ac:dyDescent="0.35">
      <c r="A174" s="19"/>
      <c r="B174" s="19"/>
      <c r="C174" s="19"/>
      <c r="D174"/>
      <c r="E174"/>
    </row>
    <row r="175" spans="1:5" x14ac:dyDescent="0.35">
      <c r="A175" s="19"/>
      <c r="B175" s="19"/>
      <c r="C175" s="19"/>
      <c r="D175"/>
      <c r="E175"/>
    </row>
    <row r="176" spans="1:5" x14ac:dyDescent="0.35">
      <c r="A176" s="19"/>
      <c r="B176" s="19"/>
      <c r="C176" s="19"/>
      <c r="D176"/>
      <c r="E176"/>
    </row>
    <row r="177" spans="1:5" x14ac:dyDescent="0.35">
      <c r="A177" s="19"/>
      <c r="B177" s="19"/>
      <c r="C177" s="19"/>
      <c r="D177"/>
      <c r="E177"/>
    </row>
    <row r="178" spans="1:5" x14ac:dyDescent="0.35">
      <c r="A178" s="19"/>
      <c r="B178" s="19"/>
      <c r="C178" s="19"/>
      <c r="D178"/>
      <c r="E178"/>
    </row>
    <row r="179" spans="1:5" x14ac:dyDescent="0.35">
      <c r="A179" s="19"/>
      <c r="B179" s="19"/>
      <c r="C179" s="19"/>
      <c r="D179"/>
      <c r="E179"/>
    </row>
    <row r="180" spans="1:5" x14ac:dyDescent="0.35">
      <c r="A180" s="19"/>
      <c r="B180" s="19"/>
      <c r="C180" s="19"/>
      <c r="D180"/>
      <c r="E180"/>
    </row>
    <row r="181" spans="1:5" x14ac:dyDescent="0.35">
      <c r="A181" s="19"/>
      <c r="B181" s="19"/>
      <c r="C181" s="19"/>
      <c r="D181"/>
      <c r="E181"/>
    </row>
    <row r="182" spans="1:5" x14ac:dyDescent="0.35">
      <c r="A182" s="19"/>
      <c r="B182" s="19"/>
      <c r="C182" s="19"/>
      <c r="D182"/>
      <c r="E182"/>
    </row>
    <row r="183" spans="1:5" x14ac:dyDescent="0.35">
      <c r="A183" s="19"/>
      <c r="B183" s="19"/>
      <c r="C183" s="19"/>
      <c r="D183"/>
      <c r="E183"/>
    </row>
    <row r="184" spans="1:5" x14ac:dyDescent="0.35">
      <c r="A184" s="19"/>
      <c r="B184" s="19"/>
      <c r="C184" s="19"/>
      <c r="D184"/>
      <c r="E184"/>
    </row>
    <row r="185" spans="1:5" x14ac:dyDescent="0.35">
      <c r="A185" s="19"/>
      <c r="B185" s="19"/>
      <c r="C185" s="19"/>
      <c r="D185"/>
      <c r="E185"/>
    </row>
    <row r="186" spans="1:5" x14ac:dyDescent="0.35">
      <c r="A186" s="19"/>
      <c r="B186" s="19"/>
      <c r="C186" s="19"/>
      <c r="D186"/>
      <c r="E186"/>
    </row>
    <row r="187" spans="1:5" x14ac:dyDescent="0.35">
      <c r="A187" s="19"/>
      <c r="B187" s="19"/>
      <c r="C187" s="19"/>
      <c r="D187"/>
      <c r="E187"/>
    </row>
    <row r="188" spans="1:5" x14ac:dyDescent="0.35">
      <c r="A188" s="19"/>
      <c r="B188" s="19"/>
      <c r="C188" s="19"/>
      <c r="D188"/>
      <c r="E188"/>
    </row>
    <row r="189" spans="1:5" x14ac:dyDescent="0.35">
      <c r="A189" s="19"/>
      <c r="B189" s="19"/>
      <c r="C189" s="19"/>
      <c r="D189"/>
      <c r="E189"/>
    </row>
    <row r="190" spans="1:5" x14ac:dyDescent="0.35">
      <c r="A190" s="19"/>
      <c r="B190" s="19"/>
      <c r="C190" s="19"/>
      <c r="D190"/>
      <c r="E190"/>
    </row>
    <row r="191" spans="1:5" x14ac:dyDescent="0.35">
      <c r="A191" s="19"/>
      <c r="B191" s="19"/>
      <c r="C191" s="19"/>
      <c r="D191"/>
      <c r="E191"/>
    </row>
    <row r="192" spans="1:5" x14ac:dyDescent="0.35">
      <c r="A192" s="19"/>
      <c r="B192" s="19"/>
      <c r="C192" s="19"/>
      <c r="D192"/>
      <c r="E192"/>
    </row>
    <row r="193" spans="1:5" x14ac:dyDescent="0.35">
      <c r="A193" s="19"/>
      <c r="B193" s="19"/>
      <c r="C193" s="19"/>
      <c r="D193"/>
      <c r="E193"/>
    </row>
    <row r="194" spans="1:5" x14ac:dyDescent="0.35">
      <c r="A194" s="19"/>
      <c r="B194" s="19"/>
      <c r="C194" s="19"/>
      <c r="D194"/>
      <c r="E194"/>
    </row>
    <row r="195" spans="1:5" x14ac:dyDescent="0.35">
      <c r="A195" s="19"/>
      <c r="B195" s="19"/>
      <c r="C195" s="19"/>
      <c r="D195"/>
      <c r="E195"/>
    </row>
    <row r="196" spans="1:5" x14ac:dyDescent="0.35">
      <c r="A196" s="19"/>
      <c r="B196" s="19"/>
      <c r="C196" s="19"/>
      <c r="D196"/>
      <c r="E196"/>
    </row>
    <row r="197" spans="1:5" x14ac:dyDescent="0.35">
      <c r="A197" s="19"/>
      <c r="B197" s="19"/>
      <c r="C197" s="19"/>
      <c r="D197"/>
      <c r="E197"/>
    </row>
    <row r="198" spans="1:5" x14ac:dyDescent="0.35">
      <c r="A198" s="19"/>
      <c r="B198" s="19"/>
      <c r="C198" s="19"/>
      <c r="D198"/>
      <c r="E198"/>
    </row>
    <row r="199" spans="1:5" x14ac:dyDescent="0.35">
      <c r="A199" s="19"/>
      <c r="B199" s="19"/>
      <c r="C199" s="19"/>
      <c r="D199"/>
      <c r="E199"/>
    </row>
    <row r="200" spans="1:5" x14ac:dyDescent="0.35">
      <c r="A200" s="19"/>
      <c r="B200" s="19"/>
      <c r="C200" s="19"/>
      <c r="D200"/>
      <c r="E200"/>
    </row>
    <row r="201" spans="1:5" x14ac:dyDescent="0.35">
      <c r="A201" s="19"/>
      <c r="B201" s="19"/>
      <c r="C201" s="19"/>
      <c r="D201"/>
      <c r="E201"/>
    </row>
    <row r="202" spans="1:5" x14ac:dyDescent="0.35">
      <c r="A202" s="19"/>
      <c r="B202" s="19"/>
      <c r="C202" s="19"/>
      <c r="D202"/>
      <c r="E202"/>
    </row>
    <row r="203" spans="1:5" x14ac:dyDescent="0.35">
      <c r="A203" s="19"/>
      <c r="B203" s="19"/>
      <c r="C203" s="19"/>
      <c r="D203"/>
      <c r="E203"/>
    </row>
    <row r="204" spans="1:5" x14ac:dyDescent="0.35">
      <c r="A204" s="19"/>
      <c r="B204" s="19"/>
      <c r="C204" s="19"/>
      <c r="D204"/>
      <c r="E204"/>
    </row>
    <row r="205" spans="1:5" x14ac:dyDescent="0.35">
      <c r="A205" s="19"/>
      <c r="B205" s="19"/>
      <c r="C205" s="19"/>
      <c r="D205"/>
      <c r="E205"/>
    </row>
    <row r="206" spans="1:5" x14ac:dyDescent="0.35">
      <c r="A206" s="19"/>
      <c r="B206" s="19"/>
      <c r="C206" s="19"/>
      <c r="D206"/>
      <c r="E206"/>
    </row>
    <row r="207" spans="1:5" x14ac:dyDescent="0.35">
      <c r="A207" s="19"/>
      <c r="B207" s="19"/>
      <c r="C207" s="19"/>
      <c r="D207"/>
      <c r="E207"/>
    </row>
    <row r="208" spans="1:5" x14ac:dyDescent="0.35">
      <c r="A208" s="19"/>
      <c r="B208" s="19"/>
      <c r="C208" s="19"/>
      <c r="D208"/>
      <c r="E208"/>
    </row>
    <row r="209" spans="1:5" x14ac:dyDescent="0.35">
      <c r="A209" s="19"/>
      <c r="B209" s="19"/>
      <c r="C209" s="19"/>
      <c r="D209"/>
      <c r="E209"/>
    </row>
    <row r="210" spans="1:5" x14ac:dyDescent="0.35">
      <c r="A210" s="19"/>
      <c r="B210" s="19"/>
      <c r="C210" s="19"/>
      <c r="D210"/>
      <c r="E210"/>
    </row>
    <row r="211" spans="1:5" x14ac:dyDescent="0.35">
      <c r="A211" s="19"/>
      <c r="B211" s="19"/>
      <c r="C211" s="19"/>
      <c r="D211"/>
      <c r="E211"/>
    </row>
    <row r="212" spans="1:5" x14ac:dyDescent="0.35">
      <c r="A212" s="19"/>
      <c r="B212" s="19"/>
      <c r="C212" s="19"/>
      <c r="D212"/>
      <c r="E212"/>
    </row>
    <row r="213" spans="1:5" x14ac:dyDescent="0.35">
      <c r="A213" s="19"/>
      <c r="B213" s="19"/>
      <c r="C213" s="19"/>
      <c r="D213"/>
      <c r="E213"/>
    </row>
    <row r="214" spans="1:5" x14ac:dyDescent="0.35">
      <c r="A214" s="19"/>
      <c r="B214" s="19"/>
      <c r="C214" s="19"/>
      <c r="D214"/>
      <c r="E214"/>
    </row>
    <row r="215" spans="1:5" x14ac:dyDescent="0.35">
      <c r="A215" s="19"/>
      <c r="B215" s="19"/>
      <c r="C215" s="19"/>
      <c r="D215"/>
      <c r="E215"/>
    </row>
    <row r="216" spans="1:5" x14ac:dyDescent="0.35">
      <c r="A216" s="19"/>
      <c r="B216" s="19"/>
      <c r="C216" s="19"/>
      <c r="D216"/>
      <c r="E216"/>
    </row>
    <row r="217" spans="1:5" x14ac:dyDescent="0.35">
      <c r="A217" s="19"/>
      <c r="B217" s="19"/>
      <c r="C217" s="19"/>
      <c r="D217"/>
      <c r="E217"/>
    </row>
    <row r="218" spans="1:5" x14ac:dyDescent="0.35">
      <c r="A218" s="19"/>
      <c r="B218" s="19"/>
      <c r="C218" s="19"/>
      <c r="D218"/>
      <c r="E218"/>
    </row>
    <row r="219" spans="1:5" x14ac:dyDescent="0.35">
      <c r="A219" s="19"/>
      <c r="B219" s="19"/>
      <c r="C219" s="19"/>
      <c r="D219"/>
      <c r="E219"/>
    </row>
    <row r="220" spans="1:5" x14ac:dyDescent="0.35">
      <c r="A220" s="19"/>
      <c r="B220" s="19"/>
      <c r="C220" s="19"/>
      <c r="D220"/>
      <c r="E220"/>
    </row>
    <row r="221" spans="1:5" x14ac:dyDescent="0.35">
      <c r="A221" s="19"/>
      <c r="B221" s="19"/>
      <c r="C221" s="19"/>
      <c r="D221"/>
      <c r="E221"/>
    </row>
    <row r="222" spans="1:5" x14ac:dyDescent="0.35">
      <c r="A222" s="19"/>
      <c r="B222" s="19"/>
      <c r="C222" s="19"/>
      <c r="D222"/>
      <c r="E222"/>
    </row>
    <row r="223" spans="1:5" x14ac:dyDescent="0.35">
      <c r="A223" s="19"/>
      <c r="B223" s="19"/>
      <c r="C223" s="19"/>
      <c r="D223"/>
      <c r="E223"/>
    </row>
    <row r="224" spans="1:5" x14ac:dyDescent="0.35">
      <c r="A224" s="19"/>
      <c r="B224" s="19"/>
      <c r="C224" s="19"/>
      <c r="D224"/>
      <c r="E224"/>
    </row>
    <row r="225" spans="1:5" x14ac:dyDescent="0.35">
      <c r="A225" s="19"/>
      <c r="B225" s="19"/>
      <c r="C225" s="19"/>
      <c r="D225"/>
      <c r="E225"/>
    </row>
    <row r="226" spans="1:5" x14ac:dyDescent="0.35">
      <c r="A226" s="19"/>
      <c r="B226" s="19"/>
      <c r="C226" s="19"/>
      <c r="D226"/>
      <c r="E226"/>
    </row>
    <row r="227" spans="1:5" x14ac:dyDescent="0.35">
      <c r="A227" s="19"/>
      <c r="B227" s="19"/>
      <c r="C227" s="19"/>
      <c r="D227"/>
      <c r="E227"/>
    </row>
    <row r="228" spans="1:5" x14ac:dyDescent="0.35">
      <c r="A228" s="19"/>
      <c r="B228" s="19"/>
      <c r="C228" s="19"/>
      <c r="D228"/>
      <c r="E228"/>
    </row>
    <row r="229" spans="1:5" x14ac:dyDescent="0.35">
      <c r="A229" s="19"/>
      <c r="B229" s="19"/>
      <c r="C229" s="19"/>
      <c r="D229"/>
      <c r="E229"/>
    </row>
    <row r="230" spans="1:5" x14ac:dyDescent="0.35">
      <c r="A230" s="19"/>
      <c r="B230" s="19"/>
      <c r="C230" s="19"/>
      <c r="D230"/>
      <c r="E230"/>
    </row>
    <row r="231" spans="1:5" x14ac:dyDescent="0.35">
      <c r="A231" s="19"/>
      <c r="B231" s="19"/>
      <c r="C231" s="19"/>
      <c r="D231"/>
      <c r="E231"/>
    </row>
    <row r="232" spans="1:5" x14ac:dyDescent="0.35">
      <c r="A232" s="19"/>
      <c r="B232" s="19"/>
      <c r="C232" s="19"/>
      <c r="D232"/>
      <c r="E232"/>
    </row>
    <row r="233" spans="1:5" x14ac:dyDescent="0.35">
      <c r="A233" s="19"/>
      <c r="B233" s="19"/>
      <c r="C233" s="19"/>
      <c r="D233"/>
      <c r="E233"/>
    </row>
    <row r="234" spans="1:5" x14ac:dyDescent="0.35">
      <c r="A234" s="19"/>
      <c r="B234" s="19"/>
      <c r="C234" s="19"/>
      <c r="D234"/>
      <c r="E234"/>
    </row>
    <row r="235" spans="1:5" x14ac:dyDescent="0.35">
      <c r="A235" s="19"/>
      <c r="B235" s="19"/>
      <c r="C235" s="19"/>
      <c r="D235"/>
      <c r="E235"/>
    </row>
    <row r="236" spans="1:5" x14ac:dyDescent="0.35">
      <c r="A236" s="19"/>
      <c r="B236" s="19"/>
      <c r="C236" s="19"/>
      <c r="D236"/>
      <c r="E236"/>
    </row>
    <row r="237" spans="1:5" x14ac:dyDescent="0.35">
      <c r="A237" s="19"/>
      <c r="B237" s="19"/>
      <c r="C237" s="19"/>
      <c r="D237"/>
      <c r="E237"/>
    </row>
    <row r="238" spans="1:5" x14ac:dyDescent="0.35">
      <c r="A238" s="19"/>
      <c r="B238" s="19"/>
      <c r="C238" s="19"/>
      <c r="D238"/>
      <c r="E238"/>
    </row>
    <row r="239" spans="1:5" x14ac:dyDescent="0.35">
      <c r="A239" s="19"/>
      <c r="B239" s="19"/>
      <c r="C239" s="19"/>
      <c r="D239"/>
      <c r="E239"/>
    </row>
    <row r="240" spans="1:5" x14ac:dyDescent="0.35">
      <c r="A240" s="19"/>
      <c r="B240" s="19"/>
      <c r="C240" s="19"/>
      <c r="D240"/>
      <c r="E240"/>
    </row>
    <row r="241" spans="1:5" x14ac:dyDescent="0.35">
      <c r="A241" s="19"/>
      <c r="B241" s="19"/>
      <c r="C241" s="19"/>
      <c r="D241"/>
      <c r="E241"/>
    </row>
    <row r="242" spans="1:5" x14ac:dyDescent="0.35">
      <c r="A242" s="19"/>
      <c r="B242" s="19"/>
      <c r="C242" s="19"/>
      <c r="D242"/>
      <c r="E242"/>
    </row>
    <row r="243" spans="1:5" x14ac:dyDescent="0.35">
      <c r="A243" s="19"/>
      <c r="B243" s="19"/>
      <c r="C243" s="19"/>
      <c r="D243"/>
      <c r="E243"/>
    </row>
    <row r="244" spans="1:5" x14ac:dyDescent="0.35">
      <c r="A244" s="19"/>
      <c r="B244" s="19"/>
      <c r="C244" s="19"/>
      <c r="D244"/>
      <c r="E244"/>
    </row>
    <row r="245" spans="1:5" x14ac:dyDescent="0.35">
      <c r="A245" s="19"/>
      <c r="B245" s="19"/>
      <c r="C245" s="19"/>
      <c r="D245"/>
      <c r="E245"/>
    </row>
    <row r="246" spans="1:5" x14ac:dyDescent="0.35">
      <c r="A246" s="19"/>
      <c r="B246" s="19"/>
      <c r="C246" s="19"/>
      <c r="D246"/>
      <c r="E246"/>
    </row>
    <row r="247" spans="1:5" x14ac:dyDescent="0.35">
      <c r="A247" s="19"/>
      <c r="B247" s="19"/>
      <c r="C247" s="19"/>
      <c r="D247"/>
      <c r="E247"/>
    </row>
    <row r="248" spans="1:5" x14ac:dyDescent="0.35">
      <c r="A248" s="19"/>
      <c r="B248" s="19"/>
      <c r="C248" s="19"/>
      <c r="D248"/>
      <c r="E248"/>
    </row>
    <row r="249" spans="1:5" x14ac:dyDescent="0.35">
      <c r="A249" s="19"/>
      <c r="B249" s="19"/>
      <c r="C249" s="19"/>
      <c r="D249"/>
      <c r="E249"/>
    </row>
    <row r="250" spans="1:5" x14ac:dyDescent="0.35">
      <c r="A250" s="19"/>
      <c r="B250" s="19"/>
      <c r="C250" s="19"/>
      <c r="D250"/>
      <c r="E250"/>
    </row>
    <row r="251" spans="1:5" x14ac:dyDescent="0.35">
      <c r="A251" s="19"/>
      <c r="B251" s="19"/>
      <c r="C251" s="19"/>
      <c r="D251"/>
      <c r="E251"/>
    </row>
    <row r="252" spans="1:5" x14ac:dyDescent="0.35">
      <c r="A252" s="19"/>
      <c r="B252" s="19"/>
      <c r="C252" s="19"/>
      <c r="D252"/>
      <c r="E252"/>
    </row>
    <row r="253" spans="1:5" x14ac:dyDescent="0.35">
      <c r="A253" s="19"/>
      <c r="B253" s="19"/>
      <c r="C253" s="19"/>
      <c r="D253"/>
      <c r="E253"/>
    </row>
    <row r="254" spans="1:5" x14ac:dyDescent="0.35">
      <c r="A254" s="19"/>
      <c r="B254" s="19"/>
      <c r="C254" s="19"/>
      <c r="D254"/>
      <c r="E254"/>
    </row>
    <row r="255" spans="1:5" x14ac:dyDescent="0.35">
      <c r="A255" s="19"/>
      <c r="B255" s="19"/>
      <c r="C255" s="19"/>
      <c r="D255"/>
      <c r="E255"/>
    </row>
    <row r="256" spans="1:5" x14ac:dyDescent="0.35">
      <c r="A256" s="19"/>
      <c r="B256" s="19"/>
      <c r="C256" s="19"/>
      <c r="D256"/>
      <c r="E256"/>
    </row>
    <row r="257" spans="1:5" x14ac:dyDescent="0.35">
      <c r="A257" s="19"/>
      <c r="B257" s="19"/>
      <c r="C257" s="19"/>
      <c r="D257"/>
      <c r="E257"/>
    </row>
    <row r="258" spans="1:5" x14ac:dyDescent="0.35">
      <c r="A258" s="19"/>
      <c r="B258" s="19"/>
      <c r="C258" s="19"/>
      <c r="D258"/>
      <c r="E258"/>
    </row>
    <row r="259" spans="1:5" x14ac:dyDescent="0.35">
      <c r="A259" s="19"/>
      <c r="B259" s="19"/>
      <c r="C259" s="19"/>
      <c r="D259"/>
      <c r="E259"/>
    </row>
    <row r="260" spans="1:5" x14ac:dyDescent="0.35">
      <c r="A260" s="19"/>
      <c r="B260" s="19"/>
      <c r="C260" s="19"/>
      <c r="D260"/>
      <c r="E260"/>
    </row>
    <row r="261" spans="1:5" x14ac:dyDescent="0.35">
      <c r="A261" s="19"/>
      <c r="B261" s="19"/>
      <c r="C261" s="19"/>
      <c r="D261"/>
      <c r="E261"/>
    </row>
    <row r="262" spans="1:5" x14ac:dyDescent="0.35">
      <c r="A262" s="19"/>
      <c r="B262" s="19"/>
      <c r="C262" s="19"/>
      <c r="D262"/>
      <c r="E262"/>
    </row>
    <row r="263" spans="1:5" x14ac:dyDescent="0.35">
      <c r="A263" s="19"/>
      <c r="B263" s="19"/>
      <c r="C263" s="19"/>
      <c r="D263"/>
      <c r="E263"/>
    </row>
    <row r="264" spans="1:5" x14ac:dyDescent="0.35">
      <c r="A264" s="19"/>
      <c r="B264" s="19"/>
      <c r="C264" s="19"/>
      <c r="D264"/>
      <c r="E264"/>
    </row>
    <row r="265" spans="1:5" x14ac:dyDescent="0.35">
      <c r="A265" s="19"/>
      <c r="B265" s="19"/>
      <c r="C265" s="19"/>
      <c r="D265"/>
      <c r="E265"/>
    </row>
    <row r="266" spans="1:5" x14ac:dyDescent="0.35">
      <c r="A266" s="19"/>
      <c r="B266" s="19"/>
      <c r="C266" s="19"/>
      <c r="D266"/>
      <c r="E266"/>
    </row>
    <row r="267" spans="1:5" x14ac:dyDescent="0.35">
      <c r="A267" s="19"/>
      <c r="B267" s="19"/>
      <c r="C267" s="19"/>
      <c r="D267"/>
      <c r="E267"/>
    </row>
    <row r="268" spans="1:5" x14ac:dyDescent="0.35">
      <c r="A268" s="19"/>
      <c r="B268" s="19"/>
      <c r="C268" s="19"/>
      <c r="D268"/>
      <c r="E268"/>
    </row>
    <row r="269" spans="1:5" x14ac:dyDescent="0.35">
      <c r="A269" s="19"/>
      <c r="B269" s="19"/>
      <c r="C269" s="19"/>
      <c r="D269"/>
      <c r="E269"/>
    </row>
    <row r="270" spans="1:5" x14ac:dyDescent="0.35">
      <c r="A270" s="19"/>
      <c r="B270" s="19"/>
      <c r="C270" s="19"/>
      <c r="D270"/>
      <c r="E270"/>
    </row>
    <row r="271" spans="1:5" x14ac:dyDescent="0.35">
      <c r="A271" s="19"/>
      <c r="B271" s="19"/>
      <c r="C271" s="19"/>
      <c r="D271"/>
      <c r="E271"/>
    </row>
    <row r="272" spans="1:5" x14ac:dyDescent="0.35">
      <c r="A272" s="19"/>
      <c r="B272" s="19"/>
      <c r="C272" s="19"/>
      <c r="D272"/>
      <c r="E272"/>
    </row>
    <row r="273" spans="1:5" x14ac:dyDescent="0.35">
      <c r="A273" s="19"/>
      <c r="B273" s="19"/>
      <c r="C273" s="19"/>
      <c r="D273"/>
      <c r="E273"/>
    </row>
    <row r="274" spans="1:5" x14ac:dyDescent="0.35">
      <c r="A274" s="19"/>
      <c r="B274" s="19"/>
      <c r="C274" s="19"/>
      <c r="D274"/>
      <c r="E274"/>
    </row>
    <row r="275" spans="1:5" x14ac:dyDescent="0.35">
      <c r="A275" s="19"/>
      <c r="B275" s="19"/>
      <c r="C275" s="19"/>
      <c r="D275"/>
      <c r="E275"/>
    </row>
    <row r="276" spans="1:5" x14ac:dyDescent="0.35">
      <c r="A276" s="19"/>
      <c r="B276" s="19"/>
      <c r="C276" s="19"/>
      <c r="D276"/>
      <c r="E276"/>
    </row>
    <row r="277" spans="1:5" x14ac:dyDescent="0.35">
      <c r="A277" s="19"/>
      <c r="B277" s="19"/>
      <c r="C277" s="19"/>
      <c r="D277"/>
      <c r="E277"/>
    </row>
    <row r="278" spans="1:5" x14ac:dyDescent="0.35">
      <c r="A278" s="19"/>
      <c r="B278" s="19"/>
      <c r="C278" s="19"/>
      <c r="D278"/>
      <c r="E278"/>
    </row>
    <row r="279" spans="1:5" x14ac:dyDescent="0.35">
      <c r="A279" s="19"/>
      <c r="B279" s="19"/>
      <c r="C279" s="19"/>
      <c r="D279"/>
      <c r="E279"/>
    </row>
    <row r="280" spans="1:5" x14ac:dyDescent="0.35">
      <c r="A280" s="19"/>
      <c r="B280" s="19"/>
      <c r="C280" s="19"/>
      <c r="D280"/>
      <c r="E280"/>
    </row>
    <row r="281" spans="1:5" x14ac:dyDescent="0.35">
      <c r="A281" s="19"/>
      <c r="B281" s="19"/>
      <c r="C281" s="19"/>
      <c r="D281"/>
      <c r="E281"/>
    </row>
    <row r="282" spans="1:5" x14ac:dyDescent="0.35">
      <c r="A282" s="19"/>
      <c r="B282" s="19"/>
      <c r="C282" s="19"/>
      <c r="D282"/>
      <c r="E282"/>
    </row>
    <row r="283" spans="1:5" x14ac:dyDescent="0.35">
      <c r="A283" s="19"/>
      <c r="B283" s="19"/>
      <c r="C283" s="19"/>
      <c r="D283"/>
      <c r="E283"/>
    </row>
    <row r="284" spans="1:5" x14ac:dyDescent="0.35">
      <c r="A284" s="19"/>
      <c r="B284" s="19"/>
      <c r="C284" s="19"/>
      <c r="D284"/>
      <c r="E284"/>
    </row>
    <row r="285" spans="1:5" x14ac:dyDescent="0.35">
      <c r="A285" s="19"/>
      <c r="B285" s="19"/>
      <c r="C285" s="19"/>
      <c r="D285"/>
      <c r="E285"/>
    </row>
    <row r="286" spans="1:5" x14ac:dyDescent="0.35">
      <c r="A286" s="19"/>
      <c r="B286" s="19"/>
      <c r="C286" s="19"/>
      <c r="D286"/>
      <c r="E286"/>
    </row>
    <row r="287" spans="1:5" x14ac:dyDescent="0.35">
      <c r="A287" s="19"/>
      <c r="B287" s="19"/>
      <c r="C287" s="19"/>
      <c r="D287"/>
      <c r="E287"/>
    </row>
    <row r="288" spans="1:5" x14ac:dyDescent="0.35">
      <c r="A288" s="19"/>
      <c r="B288" s="19"/>
      <c r="C288" s="19"/>
      <c r="D288"/>
      <c r="E288"/>
    </row>
    <row r="289" spans="1:5" x14ac:dyDescent="0.35">
      <c r="A289" s="19"/>
      <c r="B289" s="19"/>
      <c r="C289" s="19"/>
      <c r="D289"/>
      <c r="E289"/>
    </row>
    <row r="290" spans="1:5" x14ac:dyDescent="0.35">
      <c r="A290" s="19"/>
      <c r="B290" s="19"/>
      <c r="C290" s="19"/>
      <c r="D290"/>
      <c r="E290"/>
    </row>
    <row r="291" spans="1:5" x14ac:dyDescent="0.35">
      <c r="A291" s="19"/>
      <c r="B291" s="19"/>
      <c r="C291" s="19"/>
      <c r="D291"/>
      <c r="E291"/>
    </row>
    <row r="292" spans="1:5" x14ac:dyDescent="0.35">
      <c r="A292" s="19"/>
      <c r="B292" s="19"/>
      <c r="C292" s="19"/>
      <c r="D292"/>
      <c r="E292"/>
    </row>
    <row r="293" spans="1:5" x14ac:dyDescent="0.35">
      <c r="A293" s="19"/>
      <c r="B293" s="19"/>
      <c r="C293" s="19"/>
      <c r="D293"/>
      <c r="E293"/>
    </row>
    <row r="294" spans="1:5" x14ac:dyDescent="0.35">
      <c r="A294" s="19"/>
      <c r="B294" s="19"/>
      <c r="C294" s="19"/>
      <c r="D294"/>
      <c r="E294"/>
    </row>
    <row r="295" spans="1:5" x14ac:dyDescent="0.35">
      <c r="A295" s="19"/>
      <c r="B295" s="19"/>
      <c r="C295" s="19"/>
      <c r="D295"/>
      <c r="E295"/>
    </row>
    <row r="296" spans="1:5" x14ac:dyDescent="0.35">
      <c r="A296" s="19"/>
      <c r="B296" s="19"/>
      <c r="C296" s="19"/>
      <c r="D296"/>
      <c r="E296"/>
    </row>
    <row r="297" spans="1:5" x14ac:dyDescent="0.35">
      <c r="A297" s="19"/>
      <c r="B297" s="19"/>
      <c r="C297" s="19"/>
      <c r="D297"/>
      <c r="E297"/>
    </row>
    <row r="298" spans="1:5" x14ac:dyDescent="0.35">
      <c r="A298" s="19"/>
      <c r="B298" s="19"/>
      <c r="C298" s="19"/>
      <c r="D298"/>
      <c r="E298"/>
    </row>
    <row r="299" spans="1:5" x14ac:dyDescent="0.35">
      <c r="A299" s="19"/>
      <c r="B299" s="19"/>
      <c r="C299" s="19"/>
      <c r="D299"/>
      <c r="E299"/>
    </row>
    <row r="300" spans="1:5" x14ac:dyDescent="0.35">
      <c r="A300" s="19"/>
      <c r="B300" s="19"/>
      <c r="C300" s="19"/>
      <c r="D300"/>
      <c r="E300"/>
    </row>
    <row r="301" spans="1:5" x14ac:dyDescent="0.35">
      <c r="A301" s="19"/>
      <c r="B301" s="19"/>
      <c r="C301" s="19"/>
      <c r="D301"/>
      <c r="E301"/>
    </row>
    <row r="302" spans="1:5" x14ac:dyDescent="0.35">
      <c r="A302" s="19"/>
      <c r="B302" s="19"/>
      <c r="C302" s="19"/>
      <c r="D302"/>
      <c r="E302"/>
    </row>
    <row r="303" spans="1:5" x14ac:dyDescent="0.35">
      <c r="A303" s="19"/>
      <c r="B303" s="19"/>
      <c r="C303" s="19"/>
      <c r="D303"/>
      <c r="E303"/>
    </row>
    <row r="304" spans="1:5" x14ac:dyDescent="0.35">
      <c r="A304" s="19"/>
      <c r="B304" s="19"/>
      <c r="C304" s="19"/>
      <c r="D304"/>
      <c r="E304"/>
    </row>
    <row r="305" spans="1:5" x14ac:dyDescent="0.35">
      <c r="A305" s="19"/>
      <c r="B305" s="19"/>
      <c r="C305" s="19"/>
      <c r="D305"/>
      <c r="E305"/>
    </row>
    <row r="306" spans="1:5" x14ac:dyDescent="0.35">
      <c r="A306" s="19"/>
      <c r="B306" s="19"/>
      <c r="C306" s="19"/>
      <c r="D306"/>
      <c r="E306"/>
    </row>
    <row r="307" spans="1:5" x14ac:dyDescent="0.35">
      <c r="A307" s="19"/>
      <c r="B307" s="19"/>
      <c r="C307" s="19"/>
      <c r="D307"/>
      <c r="E307"/>
    </row>
    <row r="308" spans="1:5" x14ac:dyDescent="0.35">
      <c r="A308" s="19"/>
      <c r="B308" s="19"/>
      <c r="C308" s="19"/>
      <c r="D308"/>
      <c r="E308"/>
    </row>
    <row r="309" spans="1:5" x14ac:dyDescent="0.35">
      <c r="A309" s="19"/>
      <c r="B309" s="19"/>
      <c r="C309" s="19"/>
      <c r="D309"/>
      <c r="E309"/>
    </row>
    <row r="310" spans="1:5" x14ac:dyDescent="0.35">
      <c r="A310" s="19"/>
      <c r="B310" s="19"/>
      <c r="C310" s="19"/>
      <c r="D310"/>
      <c r="E310"/>
    </row>
    <row r="311" spans="1:5" x14ac:dyDescent="0.35">
      <c r="A311" s="19"/>
      <c r="B311" s="19"/>
      <c r="C311" s="19"/>
      <c r="D311"/>
      <c r="E311"/>
    </row>
    <row r="312" spans="1:5" x14ac:dyDescent="0.35">
      <c r="A312" s="19"/>
      <c r="B312" s="19"/>
      <c r="C312" s="19"/>
      <c r="D312"/>
      <c r="E312"/>
    </row>
    <row r="313" spans="1:5" x14ac:dyDescent="0.35">
      <c r="A313" s="19"/>
      <c r="B313" s="19"/>
      <c r="C313" s="19"/>
      <c r="D313"/>
      <c r="E313"/>
    </row>
    <row r="314" spans="1:5" x14ac:dyDescent="0.35">
      <c r="A314" s="19"/>
      <c r="B314" s="19"/>
      <c r="C314" s="19"/>
      <c r="D314"/>
      <c r="E314"/>
    </row>
    <row r="315" spans="1:5" x14ac:dyDescent="0.35">
      <c r="A315" s="19"/>
      <c r="B315" s="19"/>
      <c r="C315" s="19"/>
      <c r="D315"/>
      <c r="E315"/>
    </row>
    <row r="316" spans="1:5" x14ac:dyDescent="0.35">
      <c r="A316" s="19"/>
      <c r="B316" s="19"/>
      <c r="C316" s="19"/>
      <c r="D316"/>
      <c r="E316"/>
    </row>
    <row r="317" spans="1:5" x14ac:dyDescent="0.35">
      <c r="A317" s="19"/>
      <c r="B317" s="19"/>
      <c r="C317" s="19"/>
      <c r="D317"/>
      <c r="E317"/>
    </row>
    <row r="318" spans="1:5" x14ac:dyDescent="0.35">
      <c r="A318" s="19"/>
      <c r="B318" s="19"/>
      <c r="C318" s="19"/>
      <c r="D318"/>
      <c r="E318"/>
    </row>
    <row r="319" spans="1:5" x14ac:dyDescent="0.35">
      <c r="A319" s="19"/>
      <c r="B319" s="19"/>
      <c r="C319" s="19"/>
      <c r="D319"/>
      <c r="E319"/>
    </row>
    <row r="320" spans="1:5" x14ac:dyDescent="0.35">
      <c r="A320" s="19"/>
      <c r="B320" s="19"/>
      <c r="C320" s="19"/>
      <c r="D320"/>
      <c r="E320"/>
    </row>
    <row r="321" spans="1:5" x14ac:dyDescent="0.35">
      <c r="A321" s="19"/>
      <c r="B321" s="19"/>
      <c r="C321" s="19"/>
      <c r="D321"/>
      <c r="E321"/>
    </row>
    <row r="322" spans="1:5" x14ac:dyDescent="0.35">
      <c r="A322" s="19"/>
      <c r="B322" s="19"/>
      <c r="C322" s="19"/>
      <c r="D322"/>
      <c r="E322"/>
    </row>
    <row r="323" spans="1:5" x14ac:dyDescent="0.35">
      <c r="A323" s="19"/>
      <c r="B323" s="19"/>
      <c r="C323" s="19"/>
      <c r="D323"/>
      <c r="E323"/>
    </row>
    <row r="324" spans="1:5" x14ac:dyDescent="0.35">
      <c r="A324" s="19"/>
      <c r="B324" s="19"/>
      <c r="C324" s="19"/>
      <c r="D324"/>
      <c r="E324"/>
    </row>
    <row r="325" spans="1:5" x14ac:dyDescent="0.35">
      <c r="A325" s="19"/>
      <c r="B325" s="19"/>
      <c r="C325" s="19"/>
      <c r="D325"/>
      <c r="E325"/>
    </row>
    <row r="326" spans="1:5" x14ac:dyDescent="0.35">
      <c r="A326" s="19"/>
      <c r="B326" s="19"/>
      <c r="C326" s="19"/>
      <c r="D326"/>
      <c r="E326"/>
    </row>
    <row r="327" spans="1:5" x14ac:dyDescent="0.35">
      <c r="A327" s="19"/>
      <c r="B327" s="19"/>
      <c r="C327" s="19"/>
      <c r="D327"/>
      <c r="E327"/>
    </row>
    <row r="328" spans="1:5" x14ac:dyDescent="0.35">
      <c r="A328" s="19"/>
      <c r="B328" s="19"/>
      <c r="C328" s="19"/>
      <c r="D328"/>
      <c r="E328"/>
    </row>
    <row r="329" spans="1:5" x14ac:dyDescent="0.35">
      <c r="A329" s="19"/>
      <c r="B329" s="19"/>
      <c r="C329" s="19"/>
      <c r="D329"/>
      <c r="E329"/>
    </row>
    <row r="330" spans="1:5" x14ac:dyDescent="0.35">
      <c r="A330" s="19"/>
      <c r="B330" s="19"/>
      <c r="C330" s="19"/>
      <c r="D330"/>
      <c r="E330"/>
    </row>
    <row r="331" spans="1:5" x14ac:dyDescent="0.35">
      <c r="A331" s="19"/>
      <c r="B331" s="19"/>
      <c r="C331" s="19"/>
      <c r="D331"/>
      <c r="E331"/>
    </row>
    <row r="332" spans="1:5" x14ac:dyDescent="0.35">
      <c r="A332" s="19"/>
      <c r="B332" s="19"/>
      <c r="C332" s="19"/>
      <c r="D332"/>
      <c r="E332"/>
    </row>
    <row r="333" spans="1:5" x14ac:dyDescent="0.35">
      <c r="A333" s="19"/>
      <c r="B333" s="19"/>
      <c r="C333" s="19"/>
      <c r="D333"/>
      <c r="E333"/>
    </row>
    <row r="334" spans="1:5" x14ac:dyDescent="0.35">
      <c r="A334" s="19"/>
      <c r="B334" s="19"/>
      <c r="C334" s="19"/>
      <c r="D334"/>
      <c r="E334"/>
    </row>
    <row r="335" spans="1:5" x14ac:dyDescent="0.35">
      <c r="A335" s="19"/>
      <c r="B335" s="19"/>
      <c r="C335" s="19"/>
      <c r="D335"/>
      <c r="E335"/>
    </row>
    <row r="336" spans="1:5" x14ac:dyDescent="0.35">
      <c r="A336" s="19"/>
      <c r="B336" s="19"/>
      <c r="C336" s="19"/>
      <c r="D336"/>
      <c r="E336"/>
    </row>
    <row r="337" spans="1:5" x14ac:dyDescent="0.35">
      <c r="A337" s="19"/>
      <c r="B337" s="19"/>
      <c r="C337" s="19"/>
      <c r="D337"/>
      <c r="E337"/>
    </row>
    <row r="338" spans="1:5" x14ac:dyDescent="0.35">
      <c r="A338" s="19"/>
      <c r="B338" s="19"/>
      <c r="C338" s="19"/>
      <c r="D338"/>
      <c r="E338"/>
    </row>
    <row r="339" spans="1:5" x14ac:dyDescent="0.35">
      <c r="A339" s="19"/>
      <c r="B339" s="19"/>
      <c r="C339" s="19"/>
      <c r="D339"/>
      <c r="E339"/>
    </row>
    <row r="340" spans="1:5" x14ac:dyDescent="0.35">
      <c r="A340" s="19"/>
      <c r="B340" s="19"/>
      <c r="C340" s="19"/>
      <c r="D340"/>
      <c r="E340"/>
    </row>
    <row r="341" spans="1:5" x14ac:dyDescent="0.35">
      <c r="A341" s="19"/>
      <c r="B341" s="19"/>
      <c r="C341" s="19"/>
      <c r="D341"/>
      <c r="E341"/>
    </row>
    <row r="342" spans="1:5" x14ac:dyDescent="0.35">
      <c r="A342" s="19"/>
      <c r="B342" s="19"/>
      <c r="C342" s="19"/>
      <c r="D342"/>
      <c r="E342"/>
    </row>
    <row r="343" spans="1:5" x14ac:dyDescent="0.35">
      <c r="A343" s="19"/>
      <c r="B343" s="19"/>
      <c r="C343" s="19"/>
      <c r="D343"/>
      <c r="E343"/>
    </row>
    <row r="344" spans="1:5" x14ac:dyDescent="0.35">
      <c r="A344" s="19"/>
      <c r="B344" s="19"/>
      <c r="C344" s="19"/>
      <c r="D344"/>
      <c r="E344"/>
    </row>
    <row r="345" spans="1:5" x14ac:dyDescent="0.35">
      <c r="A345" s="19"/>
      <c r="B345" s="19"/>
      <c r="C345" s="19"/>
      <c r="D345"/>
      <c r="E345"/>
    </row>
    <row r="346" spans="1:5" x14ac:dyDescent="0.35">
      <c r="A346" s="19"/>
      <c r="B346" s="19"/>
      <c r="C346" s="19"/>
      <c r="D346"/>
      <c r="E346"/>
    </row>
    <row r="347" spans="1:5" x14ac:dyDescent="0.35">
      <c r="A347" s="19"/>
      <c r="B347" s="19"/>
      <c r="C347" s="19"/>
      <c r="D347"/>
      <c r="E347"/>
    </row>
    <row r="348" spans="1:5" x14ac:dyDescent="0.35">
      <c r="A348" s="19"/>
      <c r="B348" s="19"/>
      <c r="C348" s="19"/>
      <c r="D348"/>
      <c r="E348"/>
    </row>
    <row r="349" spans="1:5" x14ac:dyDescent="0.35">
      <c r="A349" s="19"/>
      <c r="B349" s="19"/>
      <c r="C349" s="19"/>
      <c r="D349"/>
      <c r="E349"/>
    </row>
    <row r="350" spans="1:5" x14ac:dyDescent="0.35">
      <c r="A350" s="19"/>
      <c r="B350" s="19"/>
      <c r="C350" s="19"/>
      <c r="D350"/>
      <c r="E350"/>
    </row>
    <row r="351" spans="1:5" x14ac:dyDescent="0.35">
      <c r="A351" s="19"/>
      <c r="B351" s="19"/>
      <c r="C351" s="19"/>
      <c r="D351"/>
      <c r="E351"/>
    </row>
    <row r="352" spans="1:5" x14ac:dyDescent="0.35">
      <c r="A352" s="19"/>
      <c r="B352" s="19"/>
      <c r="C352" s="19"/>
      <c r="D352"/>
      <c r="E352"/>
    </row>
    <row r="353" spans="1:5" x14ac:dyDescent="0.35">
      <c r="A353" s="19"/>
      <c r="B353" s="19"/>
      <c r="C353" s="19"/>
      <c r="D353"/>
      <c r="E353"/>
    </row>
    <row r="354" spans="1:5" x14ac:dyDescent="0.35">
      <c r="A354" s="19"/>
      <c r="B354" s="19"/>
      <c r="C354" s="19"/>
      <c r="D354"/>
      <c r="E354"/>
    </row>
    <row r="355" spans="1:5" x14ac:dyDescent="0.35">
      <c r="A355" s="19"/>
      <c r="B355" s="19"/>
      <c r="C355" s="19"/>
      <c r="D355"/>
      <c r="E355"/>
    </row>
    <row r="356" spans="1:5" x14ac:dyDescent="0.35">
      <c r="A356" s="19"/>
      <c r="B356" s="19"/>
      <c r="C356" s="19"/>
      <c r="D356"/>
      <c r="E356"/>
    </row>
    <row r="357" spans="1:5" x14ac:dyDescent="0.35">
      <c r="A357" s="19"/>
      <c r="B357" s="19"/>
      <c r="C357" s="19"/>
      <c r="D357"/>
      <c r="E357"/>
    </row>
    <row r="358" spans="1:5" x14ac:dyDescent="0.35">
      <c r="A358" s="19"/>
      <c r="B358" s="19"/>
      <c r="C358" s="19"/>
      <c r="D358"/>
      <c r="E358"/>
    </row>
    <row r="359" spans="1:5" x14ac:dyDescent="0.35">
      <c r="A359" s="19"/>
      <c r="B359" s="19"/>
      <c r="C359" s="19"/>
      <c r="D359"/>
      <c r="E359"/>
    </row>
    <row r="360" spans="1:5" x14ac:dyDescent="0.35">
      <c r="A360" s="19"/>
      <c r="B360" s="19"/>
      <c r="C360" s="19"/>
      <c r="D360"/>
      <c r="E360"/>
    </row>
    <row r="361" spans="1:5" x14ac:dyDescent="0.35">
      <c r="A361" s="19"/>
      <c r="B361" s="19"/>
      <c r="C361" s="19"/>
      <c r="D361"/>
      <c r="E361"/>
    </row>
    <row r="362" spans="1:5" x14ac:dyDescent="0.35">
      <c r="A362" s="19"/>
      <c r="B362" s="19"/>
      <c r="C362" s="19"/>
      <c r="D362"/>
      <c r="E362"/>
    </row>
    <row r="363" spans="1:5" x14ac:dyDescent="0.35">
      <c r="A363" s="19"/>
      <c r="B363" s="19"/>
      <c r="C363" s="19"/>
      <c r="D363"/>
      <c r="E363"/>
    </row>
    <row r="364" spans="1:5" x14ac:dyDescent="0.35">
      <c r="A364" s="19"/>
      <c r="B364" s="19"/>
      <c r="C364" s="19"/>
      <c r="D364"/>
      <c r="E364"/>
    </row>
    <row r="365" spans="1:5" x14ac:dyDescent="0.35">
      <c r="A365" s="19"/>
      <c r="B365" s="19"/>
      <c r="C365" s="19"/>
      <c r="D365"/>
      <c r="E365"/>
    </row>
    <row r="366" spans="1:5" x14ac:dyDescent="0.35">
      <c r="A366" s="19"/>
      <c r="B366" s="19"/>
      <c r="C366" s="19"/>
      <c r="D366"/>
      <c r="E366"/>
    </row>
    <row r="367" spans="1:5" x14ac:dyDescent="0.35">
      <c r="A367" s="19"/>
      <c r="B367" s="19"/>
      <c r="C367" s="19"/>
      <c r="D367"/>
      <c r="E367"/>
    </row>
    <row r="368" spans="1:5" x14ac:dyDescent="0.35">
      <c r="A368" s="19"/>
      <c r="B368" s="19"/>
      <c r="C368" s="19"/>
      <c r="D368"/>
      <c r="E368"/>
    </row>
    <row r="369" spans="1:5" x14ac:dyDescent="0.35">
      <c r="A369" s="19"/>
      <c r="B369" s="19"/>
      <c r="C369" s="19"/>
      <c r="D369"/>
      <c r="E369"/>
    </row>
    <row r="370" spans="1:5" x14ac:dyDescent="0.35">
      <c r="A370" s="19"/>
      <c r="B370" s="19"/>
      <c r="C370" s="19"/>
      <c r="D370"/>
      <c r="E370"/>
    </row>
    <row r="371" spans="1:5" x14ac:dyDescent="0.35">
      <c r="A371" s="19"/>
      <c r="B371" s="19"/>
      <c r="C371" s="19"/>
      <c r="D371"/>
      <c r="E371"/>
    </row>
    <row r="372" spans="1:5" x14ac:dyDescent="0.35">
      <c r="A372" s="19"/>
      <c r="B372" s="19"/>
      <c r="C372" s="19"/>
      <c r="D372"/>
      <c r="E372"/>
    </row>
    <row r="373" spans="1:5" x14ac:dyDescent="0.35">
      <c r="A373" s="19"/>
      <c r="B373" s="19"/>
      <c r="C373" s="19"/>
      <c r="D373"/>
      <c r="E373"/>
    </row>
    <row r="374" spans="1:5" x14ac:dyDescent="0.35">
      <c r="A374" s="19"/>
      <c r="B374" s="19"/>
      <c r="C374" s="19"/>
      <c r="D374"/>
      <c r="E374"/>
    </row>
    <row r="375" spans="1:5" x14ac:dyDescent="0.35">
      <c r="A375" s="19"/>
      <c r="B375" s="19"/>
      <c r="C375" s="19"/>
      <c r="D375"/>
      <c r="E375"/>
    </row>
    <row r="376" spans="1:5" x14ac:dyDescent="0.35">
      <c r="A376" s="19"/>
      <c r="B376" s="19"/>
      <c r="C376" s="19"/>
      <c r="D376"/>
      <c r="E376"/>
    </row>
    <row r="377" spans="1:5" x14ac:dyDescent="0.35">
      <c r="A377" s="19"/>
      <c r="B377" s="19"/>
      <c r="C377" s="19"/>
      <c r="D377"/>
      <c r="E377"/>
    </row>
    <row r="378" spans="1:5" x14ac:dyDescent="0.35">
      <c r="A378" s="19"/>
      <c r="B378" s="19"/>
      <c r="C378" s="19"/>
      <c r="D378"/>
      <c r="E378"/>
    </row>
    <row r="379" spans="1:5" x14ac:dyDescent="0.35">
      <c r="A379" s="19"/>
      <c r="B379" s="19"/>
      <c r="C379" s="19"/>
      <c r="D379"/>
      <c r="E379"/>
    </row>
    <row r="380" spans="1:5" x14ac:dyDescent="0.35">
      <c r="A380" s="19"/>
      <c r="B380" s="19"/>
      <c r="C380" s="19"/>
      <c r="D380"/>
      <c r="E380"/>
    </row>
    <row r="381" spans="1:5" x14ac:dyDescent="0.35">
      <c r="A381" s="20"/>
      <c r="B381" s="20"/>
      <c r="C381" s="20"/>
      <c r="D381"/>
      <c r="E381"/>
    </row>
    <row r="382" spans="1:5" x14ac:dyDescent="0.35">
      <c r="A382" s="20"/>
      <c r="B382" s="20"/>
      <c r="C382" s="20"/>
      <c r="D382"/>
      <c r="E382"/>
    </row>
    <row r="383" spans="1:5" x14ac:dyDescent="0.35">
      <c r="A383" s="21"/>
      <c r="B383" s="21"/>
      <c r="C383" s="21"/>
      <c r="D383"/>
      <c r="E383"/>
    </row>
    <row r="384" spans="1:5" x14ac:dyDescent="0.35">
      <c r="A384" s="21"/>
      <c r="B384" s="21"/>
      <c r="C384" s="21"/>
      <c r="D384"/>
      <c r="E384"/>
    </row>
    <row r="385" spans="1:5" x14ac:dyDescent="0.35">
      <c r="A385" s="21"/>
      <c r="B385" s="21"/>
      <c r="C385" s="21"/>
      <c r="D385"/>
      <c r="E385"/>
    </row>
    <row r="386" spans="1:5" x14ac:dyDescent="0.35">
      <c r="A386" s="21"/>
      <c r="B386" s="21"/>
      <c r="C386" s="21"/>
      <c r="D386"/>
      <c r="E386"/>
    </row>
    <row r="387" spans="1:5" x14ac:dyDescent="0.35">
      <c r="A387" s="21"/>
      <c r="B387" s="21"/>
      <c r="C387" s="21"/>
      <c r="D387"/>
      <c r="E387"/>
    </row>
    <row r="388" spans="1:5" x14ac:dyDescent="0.35">
      <c r="A388" s="21"/>
      <c r="B388" s="21"/>
      <c r="C388" s="21"/>
      <c r="D388"/>
      <c r="E388"/>
    </row>
    <row r="389" spans="1:5" x14ac:dyDescent="0.35">
      <c r="A389" s="21"/>
      <c r="B389" s="21"/>
      <c r="C389" s="21"/>
      <c r="D389"/>
      <c r="E389"/>
    </row>
    <row r="390" spans="1:5" x14ac:dyDescent="0.35">
      <c r="A390" s="21"/>
      <c r="B390" s="21"/>
      <c r="C390" s="21"/>
      <c r="D390"/>
      <c r="E390"/>
    </row>
    <row r="391" spans="1:5" x14ac:dyDescent="0.35">
      <c r="A391" s="21"/>
      <c r="B391" s="21"/>
      <c r="C391" s="21"/>
      <c r="D391"/>
      <c r="E391"/>
    </row>
    <row r="392" spans="1:5" x14ac:dyDescent="0.35">
      <c r="A392" s="21"/>
      <c r="B392" s="21"/>
      <c r="C392" s="21"/>
      <c r="D392"/>
      <c r="E392"/>
    </row>
    <row r="393" spans="1:5" x14ac:dyDescent="0.35">
      <c r="A393" s="21"/>
      <c r="B393" s="21"/>
      <c r="C393" s="21"/>
      <c r="D393"/>
      <c r="E393"/>
    </row>
    <row r="394" spans="1:5" x14ac:dyDescent="0.35">
      <c r="A394" s="21"/>
      <c r="B394" s="21"/>
      <c r="C394" s="21"/>
      <c r="D394"/>
      <c r="E394"/>
    </row>
    <row r="395" spans="1:5" x14ac:dyDescent="0.35">
      <c r="A395" s="21"/>
      <c r="B395" s="21"/>
      <c r="C395" s="21"/>
      <c r="D395"/>
      <c r="E395"/>
    </row>
    <row r="396" spans="1:5" x14ac:dyDescent="0.35">
      <c r="A396" s="21"/>
      <c r="B396" s="21"/>
      <c r="C396" s="21"/>
      <c r="D396"/>
      <c r="E396"/>
    </row>
    <row r="397" spans="1:5" x14ac:dyDescent="0.35">
      <c r="A397" s="21"/>
      <c r="B397" s="21"/>
      <c r="C397" s="21"/>
      <c r="D397"/>
      <c r="E397"/>
    </row>
    <row r="398" spans="1:5" x14ac:dyDescent="0.35">
      <c r="A398" s="21"/>
      <c r="B398" s="21"/>
      <c r="C398" s="21"/>
      <c r="D398"/>
      <c r="E398"/>
    </row>
    <row r="399" spans="1:5" x14ac:dyDescent="0.35">
      <c r="A399" s="21"/>
      <c r="B399" s="21"/>
      <c r="C399" s="21"/>
      <c r="D399"/>
      <c r="E399"/>
    </row>
    <row r="400" spans="1:5" x14ac:dyDescent="0.35">
      <c r="A400" s="21"/>
      <c r="B400" s="21"/>
      <c r="C400" s="21"/>
      <c r="D400"/>
      <c r="E400"/>
    </row>
    <row r="401" spans="1:5" x14ac:dyDescent="0.35">
      <c r="A401" s="21"/>
      <c r="B401" s="21"/>
      <c r="C401" s="21"/>
      <c r="D401"/>
      <c r="E401"/>
    </row>
    <row r="402" spans="1:5" x14ac:dyDescent="0.35">
      <c r="A402" s="21"/>
      <c r="B402" s="21"/>
      <c r="C402" s="21"/>
      <c r="D402"/>
      <c r="E402"/>
    </row>
    <row r="403" spans="1:5" x14ac:dyDescent="0.35">
      <c r="A403" s="21"/>
      <c r="B403" s="21"/>
      <c r="C403" s="21"/>
      <c r="D403"/>
      <c r="E403"/>
    </row>
    <row r="404" spans="1:5" x14ac:dyDescent="0.35">
      <c r="A404" s="21"/>
      <c r="B404" s="21"/>
      <c r="C404" s="21"/>
      <c r="D404"/>
      <c r="E404"/>
    </row>
    <row r="405" spans="1:5" x14ac:dyDescent="0.35">
      <c r="A405" s="21"/>
      <c r="B405" s="21"/>
      <c r="C405" s="21"/>
      <c r="D405"/>
      <c r="E405"/>
    </row>
    <row r="406" spans="1:5" x14ac:dyDescent="0.35">
      <c r="A406" s="21"/>
      <c r="B406" s="21"/>
      <c r="C406" s="21"/>
      <c r="D406"/>
      <c r="E406"/>
    </row>
    <row r="407" spans="1:5" x14ac:dyDescent="0.35">
      <c r="A407" s="21"/>
      <c r="B407" s="21"/>
      <c r="C407" s="21"/>
      <c r="D407"/>
      <c r="E407"/>
    </row>
    <row r="408" spans="1:5" x14ac:dyDescent="0.35">
      <c r="A408" s="21"/>
      <c r="B408" s="21"/>
      <c r="C408" s="21"/>
      <c r="D408"/>
      <c r="E408"/>
    </row>
    <row r="409" spans="1:5" x14ac:dyDescent="0.35">
      <c r="A409" s="21"/>
      <c r="B409" s="21"/>
      <c r="C409" s="21"/>
      <c r="D409"/>
      <c r="E409"/>
    </row>
    <row r="410" spans="1:5" x14ac:dyDescent="0.35">
      <c r="A410" s="21"/>
      <c r="B410" s="21"/>
      <c r="C410" s="21"/>
      <c r="D410"/>
      <c r="E410"/>
    </row>
    <row r="411" spans="1:5" x14ac:dyDescent="0.35">
      <c r="A411" s="21"/>
      <c r="B411" s="21"/>
      <c r="C411" s="21"/>
      <c r="D411"/>
      <c r="E411"/>
    </row>
    <row r="412" spans="1:5" x14ac:dyDescent="0.35">
      <c r="A412" s="21"/>
      <c r="B412" s="21"/>
      <c r="C412" s="21"/>
      <c r="D412"/>
      <c r="E412"/>
    </row>
    <row r="413" spans="1:5" x14ac:dyDescent="0.35">
      <c r="A413" s="21"/>
      <c r="B413" s="21"/>
      <c r="C413" s="21"/>
      <c r="D413"/>
      <c r="E413"/>
    </row>
    <row r="414" spans="1:5" x14ac:dyDescent="0.35">
      <c r="A414" s="21"/>
      <c r="B414" s="21"/>
      <c r="C414" s="21"/>
      <c r="D414"/>
      <c r="E414"/>
    </row>
    <row r="415" spans="1:5" x14ac:dyDescent="0.35">
      <c r="A415" s="21"/>
      <c r="B415" s="21"/>
      <c r="C415" s="21"/>
      <c r="D415"/>
      <c r="E415"/>
    </row>
    <row r="416" spans="1:5" x14ac:dyDescent="0.35">
      <c r="A416" s="21"/>
      <c r="B416" s="21"/>
      <c r="C416" s="21"/>
      <c r="D416"/>
      <c r="E416"/>
    </row>
    <row r="417" spans="1:5" x14ac:dyDescent="0.35">
      <c r="A417" s="21"/>
      <c r="B417" s="21"/>
      <c r="C417" s="21"/>
      <c r="D417"/>
      <c r="E417"/>
    </row>
    <row r="418" spans="1:5" x14ac:dyDescent="0.35">
      <c r="A418" s="21"/>
      <c r="B418" s="21"/>
      <c r="C418" s="21"/>
      <c r="D418"/>
      <c r="E418"/>
    </row>
    <row r="419" spans="1:5" x14ac:dyDescent="0.35">
      <c r="A419" s="21"/>
      <c r="B419" s="21"/>
      <c r="C419" s="21"/>
      <c r="D419"/>
      <c r="E419"/>
    </row>
    <row r="420" spans="1:5" x14ac:dyDescent="0.35">
      <c r="A420" s="21"/>
      <c r="B420" s="21"/>
      <c r="C420" s="21"/>
      <c r="D420"/>
      <c r="E420"/>
    </row>
    <row r="421" spans="1:5" x14ac:dyDescent="0.35">
      <c r="A421" s="21"/>
      <c r="B421" s="21"/>
      <c r="C421" s="21"/>
      <c r="D421"/>
      <c r="E421"/>
    </row>
    <row r="422" spans="1:5" x14ac:dyDescent="0.35">
      <c r="A422" s="21"/>
      <c r="B422" s="21"/>
      <c r="C422" s="21"/>
      <c r="D422"/>
      <c r="E422"/>
    </row>
    <row r="423" spans="1:5" x14ac:dyDescent="0.35">
      <c r="A423" s="21"/>
      <c r="B423" s="21"/>
      <c r="C423" s="21"/>
      <c r="D423"/>
      <c r="E423"/>
    </row>
    <row r="424" spans="1:5" x14ac:dyDescent="0.35">
      <c r="A424" s="21"/>
      <c r="B424" s="21"/>
      <c r="C424" s="21"/>
      <c r="D424"/>
      <c r="E424"/>
    </row>
    <row r="425" spans="1:5" x14ac:dyDescent="0.35">
      <c r="A425" s="21"/>
      <c r="B425" s="21"/>
      <c r="C425" s="21"/>
      <c r="D425"/>
      <c r="E425"/>
    </row>
    <row r="426" spans="1:5" x14ac:dyDescent="0.35">
      <c r="A426" s="21"/>
      <c r="B426" s="21"/>
      <c r="C426" s="21"/>
      <c r="D426"/>
      <c r="E426"/>
    </row>
    <row r="427" spans="1:5" x14ac:dyDescent="0.35">
      <c r="A427" s="21"/>
      <c r="B427" s="21"/>
      <c r="C427" s="21"/>
      <c r="D427"/>
      <c r="E427"/>
    </row>
    <row r="428" spans="1:5" x14ac:dyDescent="0.35">
      <c r="A428" s="21"/>
      <c r="B428" s="21"/>
      <c r="C428" s="21"/>
      <c r="D428"/>
      <c r="E428"/>
    </row>
    <row r="429" spans="1:5" x14ac:dyDescent="0.35">
      <c r="A429" s="21"/>
      <c r="B429" s="21"/>
      <c r="C429" s="21"/>
      <c r="D429"/>
      <c r="E429"/>
    </row>
    <row r="430" spans="1:5" x14ac:dyDescent="0.35">
      <c r="A430" s="21"/>
      <c r="B430" s="21"/>
      <c r="C430" s="21"/>
      <c r="D430"/>
      <c r="E430"/>
    </row>
    <row r="431" spans="1:5" x14ac:dyDescent="0.35">
      <c r="A431" s="21"/>
      <c r="B431" s="21"/>
      <c r="C431" s="21"/>
      <c r="D431"/>
      <c r="E431"/>
    </row>
    <row r="432" spans="1:5" x14ac:dyDescent="0.35">
      <c r="A432" s="21"/>
      <c r="B432" s="21"/>
      <c r="C432" s="21"/>
      <c r="D432"/>
      <c r="E432"/>
    </row>
    <row r="433" spans="1:5" x14ac:dyDescent="0.35">
      <c r="A433" s="21"/>
      <c r="B433" s="21"/>
      <c r="C433" s="21"/>
      <c r="D433"/>
      <c r="E433"/>
    </row>
    <row r="434" spans="1:5" x14ac:dyDescent="0.35">
      <c r="A434" s="21"/>
      <c r="B434" s="21"/>
      <c r="C434" s="21"/>
      <c r="D434"/>
      <c r="E434"/>
    </row>
    <row r="435" spans="1:5" x14ac:dyDescent="0.35">
      <c r="A435" s="21"/>
      <c r="B435" s="21"/>
      <c r="C435" s="21"/>
      <c r="D435"/>
      <c r="E435"/>
    </row>
    <row r="436" spans="1:5" x14ac:dyDescent="0.35">
      <c r="A436" s="21"/>
      <c r="B436" s="21"/>
      <c r="C436" s="21"/>
      <c r="D436"/>
      <c r="E436"/>
    </row>
    <row r="437" spans="1:5" x14ac:dyDescent="0.35">
      <c r="A437"/>
      <c r="B437"/>
      <c r="C437"/>
      <c r="D437"/>
      <c r="E437"/>
    </row>
    <row r="438" spans="1:5" x14ac:dyDescent="0.35">
      <c r="A438"/>
      <c r="B438"/>
      <c r="C438"/>
      <c r="D438"/>
      <c r="E438"/>
    </row>
    <row r="439" spans="1:5" x14ac:dyDescent="0.35">
      <c r="A439"/>
      <c r="B439"/>
      <c r="C439"/>
      <c r="D439"/>
      <c r="E439"/>
    </row>
    <row r="440" spans="1:5" x14ac:dyDescent="0.35">
      <c r="A440"/>
      <c r="B440"/>
      <c r="C440"/>
      <c r="D440"/>
      <c r="E440"/>
    </row>
    <row r="441" spans="1:5" x14ac:dyDescent="0.35">
      <c r="A441"/>
      <c r="B441"/>
      <c r="C441"/>
      <c r="D441"/>
      <c r="E441"/>
    </row>
    <row r="442" spans="1:5" x14ac:dyDescent="0.35">
      <c r="A442"/>
      <c r="B442"/>
      <c r="C442"/>
      <c r="D442"/>
      <c r="E442"/>
    </row>
    <row r="443" spans="1:5" x14ac:dyDescent="0.35">
      <c r="A443"/>
      <c r="B443"/>
      <c r="C443"/>
      <c r="D443"/>
      <c r="E443"/>
    </row>
    <row r="444" spans="1:5" x14ac:dyDescent="0.35">
      <c r="A444"/>
      <c r="B444"/>
      <c r="C444"/>
      <c r="D444"/>
      <c r="E444"/>
    </row>
    <row r="445" spans="1:5" x14ac:dyDescent="0.35">
      <c r="A445"/>
      <c r="B445"/>
      <c r="C445"/>
      <c r="D445"/>
      <c r="E445"/>
    </row>
    <row r="446" spans="1:5" x14ac:dyDescent="0.35">
      <c r="A446"/>
      <c r="B446"/>
      <c r="C446"/>
      <c r="D446"/>
      <c r="E446"/>
    </row>
    <row r="447" spans="1:5" x14ac:dyDescent="0.35">
      <c r="A447"/>
      <c r="B447"/>
      <c r="C447"/>
      <c r="D447"/>
      <c r="E447"/>
    </row>
    <row r="448" spans="1:5" x14ac:dyDescent="0.35">
      <c r="A448"/>
      <c r="B448"/>
      <c r="C448"/>
      <c r="D448"/>
      <c r="E448"/>
    </row>
    <row r="449" customFormat="1" x14ac:dyDescent="0.35"/>
    <row r="450" customFormat="1" x14ac:dyDescent="0.35"/>
    <row r="451" customFormat="1" x14ac:dyDescent="0.35"/>
    <row r="452" customFormat="1" x14ac:dyDescent="0.35"/>
    <row r="453" customFormat="1" x14ac:dyDescent="0.35"/>
    <row r="454" customFormat="1" x14ac:dyDescent="0.35"/>
    <row r="455" customFormat="1" x14ac:dyDescent="0.35"/>
    <row r="456" customFormat="1" x14ac:dyDescent="0.35"/>
    <row r="457" customFormat="1" x14ac:dyDescent="0.35"/>
    <row r="458" customFormat="1" x14ac:dyDescent="0.35"/>
    <row r="459" customFormat="1" x14ac:dyDescent="0.35"/>
    <row r="460" customFormat="1" x14ac:dyDescent="0.35"/>
    <row r="461" customFormat="1" x14ac:dyDescent="0.35"/>
    <row r="462" customFormat="1" x14ac:dyDescent="0.35"/>
    <row r="463" customFormat="1" x14ac:dyDescent="0.35"/>
    <row r="464" customFormat="1" x14ac:dyDescent="0.35"/>
    <row r="465" customFormat="1" x14ac:dyDescent="0.35"/>
    <row r="466" customFormat="1" x14ac:dyDescent="0.35"/>
    <row r="467" customFormat="1" x14ac:dyDescent="0.35"/>
    <row r="468" customFormat="1" x14ac:dyDescent="0.35"/>
    <row r="469" customFormat="1" x14ac:dyDescent="0.35"/>
    <row r="470" customFormat="1" x14ac:dyDescent="0.35"/>
    <row r="471" customFormat="1" x14ac:dyDescent="0.35"/>
    <row r="472" customFormat="1" x14ac:dyDescent="0.35"/>
    <row r="473" customFormat="1" x14ac:dyDescent="0.35"/>
    <row r="474" customFormat="1" x14ac:dyDescent="0.35"/>
    <row r="475" customFormat="1" x14ac:dyDescent="0.35"/>
    <row r="476" customFormat="1" x14ac:dyDescent="0.35"/>
    <row r="477" customFormat="1" x14ac:dyDescent="0.35"/>
    <row r="478" customFormat="1" x14ac:dyDescent="0.35"/>
    <row r="479" customFormat="1" x14ac:dyDescent="0.35"/>
    <row r="480" customFormat="1" x14ac:dyDescent="0.35"/>
    <row r="481" customFormat="1" x14ac:dyDescent="0.35"/>
    <row r="482" customFormat="1" x14ac:dyDescent="0.35"/>
    <row r="483" customFormat="1" x14ac:dyDescent="0.35"/>
    <row r="484" customFormat="1" x14ac:dyDescent="0.35"/>
    <row r="485" customFormat="1" x14ac:dyDescent="0.35"/>
    <row r="486" customFormat="1" x14ac:dyDescent="0.35"/>
    <row r="487" customFormat="1" x14ac:dyDescent="0.35"/>
    <row r="488" customFormat="1" x14ac:dyDescent="0.35"/>
    <row r="489" customFormat="1" x14ac:dyDescent="0.35"/>
    <row r="490" customFormat="1" x14ac:dyDescent="0.35"/>
    <row r="491" customFormat="1" x14ac:dyDescent="0.35"/>
    <row r="492" customFormat="1" x14ac:dyDescent="0.35"/>
    <row r="493" customFormat="1" x14ac:dyDescent="0.35"/>
    <row r="494" customFormat="1" x14ac:dyDescent="0.35"/>
    <row r="495" customFormat="1" x14ac:dyDescent="0.35"/>
    <row r="496" customFormat="1" x14ac:dyDescent="0.35"/>
    <row r="497" customFormat="1" x14ac:dyDescent="0.35"/>
    <row r="498" customFormat="1" x14ac:dyDescent="0.35"/>
    <row r="499" customFormat="1" x14ac:dyDescent="0.35"/>
    <row r="500" customFormat="1" x14ac:dyDescent="0.35"/>
    <row r="501" customFormat="1" x14ac:dyDescent="0.35"/>
    <row r="502" customFormat="1" x14ac:dyDescent="0.35"/>
    <row r="503" customFormat="1" x14ac:dyDescent="0.35"/>
    <row r="504" customFormat="1" x14ac:dyDescent="0.35"/>
    <row r="505" customFormat="1" x14ac:dyDescent="0.35"/>
    <row r="506" customFormat="1" x14ac:dyDescent="0.35"/>
    <row r="507" customFormat="1" x14ac:dyDescent="0.35"/>
    <row r="508" customFormat="1" x14ac:dyDescent="0.35"/>
    <row r="509" customFormat="1" x14ac:dyDescent="0.35"/>
    <row r="510" customFormat="1" x14ac:dyDescent="0.35"/>
    <row r="511" customFormat="1" x14ac:dyDescent="0.35"/>
    <row r="512" customFormat="1" x14ac:dyDescent="0.35"/>
    <row r="513" customFormat="1" x14ac:dyDescent="0.35"/>
    <row r="514" customFormat="1" x14ac:dyDescent="0.35"/>
    <row r="515" customFormat="1" x14ac:dyDescent="0.35"/>
    <row r="516" customFormat="1" x14ac:dyDescent="0.35"/>
    <row r="517" customFormat="1" x14ac:dyDescent="0.35"/>
    <row r="518" customFormat="1" x14ac:dyDescent="0.35"/>
    <row r="519" customFormat="1" x14ac:dyDescent="0.35"/>
    <row r="520" customFormat="1" x14ac:dyDescent="0.35"/>
    <row r="521" customFormat="1" x14ac:dyDescent="0.35"/>
    <row r="522" customFormat="1" x14ac:dyDescent="0.35"/>
    <row r="523" customFormat="1" x14ac:dyDescent="0.35"/>
    <row r="524" customFormat="1" x14ac:dyDescent="0.35"/>
    <row r="525" customFormat="1" x14ac:dyDescent="0.35"/>
    <row r="526" customFormat="1" x14ac:dyDescent="0.35"/>
    <row r="527" customFormat="1" x14ac:dyDescent="0.35"/>
    <row r="528" customFormat="1" x14ac:dyDescent="0.35"/>
    <row r="529" customFormat="1" x14ac:dyDescent="0.35"/>
    <row r="530" customFormat="1" x14ac:dyDescent="0.35"/>
    <row r="531" customFormat="1" x14ac:dyDescent="0.35"/>
    <row r="532" customFormat="1" x14ac:dyDescent="0.35"/>
    <row r="533" customFormat="1" x14ac:dyDescent="0.35"/>
    <row r="534" customFormat="1" x14ac:dyDescent="0.35"/>
    <row r="535" customFormat="1" x14ac:dyDescent="0.35"/>
    <row r="536" customFormat="1" x14ac:dyDescent="0.35"/>
    <row r="537" customFormat="1" x14ac:dyDescent="0.35"/>
    <row r="538" customFormat="1" x14ac:dyDescent="0.35"/>
    <row r="539" customFormat="1" x14ac:dyDescent="0.35"/>
    <row r="540" customFormat="1" x14ac:dyDescent="0.35"/>
    <row r="541" customFormat="1" x14ac:dyDescent="0.35"/>
    <row r="542" customFormat="1" x14ac:dyDescent="0.35"/>
    <row r="543" customFormat="1" x14ac:dyDescent="0.35"/>
    <row r="544" customFormat="1" x14ac:dyDescent="0.35"/>
    <row r="545" customFormat="1" x14ac:dyDescent="0.35"/>
    <row r="546" customFormat="1" x14ac:dyDescent="0.35"/>
    <row r="547" customFormat="1" x14ac:dyDescent="0.35"/>
    <row r="548" customFormat="1" x14ac:dyDescent="0.35"/>
    <row r="549" customFormat="1" x14ac:dyDescent="0.35"/>
    <row r="550" customFormat="1" x14ac:dyDescent="0.35"/>
    <row r="551" customFormat="1" x14ac:dyDescent="0.35"/>
    <row r="552" customFormat="1" x14ac:dyDescent="0.35"/>
    <row r="553" customFormat="1" x14ac:dyDescent="0.35"/>
    <row r="554" customFormat="1" x14ac:dyDescent="0.35"/>
    <row r="555" customFormat="1" x14ac:dyDescent="0.35"/>
    <row r="556" customFormat="1" x14ac:dyDescent="0.35"/>
    <row r="557" customFormat="1" x14ac:dyDescent="0.35"/>
    <row r="558" customFormat="1" x14ac:dyDescent="0.35"/>
    <row r="559" customFormat="1" x14ac:dyDescent="0.35"/>
    <row r="560" customFormat="1" x14ac:dyDescent="0.35"/>
    <row r="561" customFormat="1" x14ac:dyDescent="0.35"/>
    <row r="562" customFormat="1" x14ac:dyDescent="0.35"/>
    <row r="563" customFormat="1" x14ac:dyDescent="0.35"/>
    <row r="564" customFormat="1" x14ac:dyDescent="0.35"/>
    <row r="565" customFormat="1" x14ac:dyDescent="0.35"/>
    <row r="566" customFormat="1" x14ac:dyDescent="0.35"/>
    <row r="567" customFormat="1" x14ac:dyDescent="0.35"/>
    <row r="568" customFormat="1" x14ac:dyDescent="0.35"/>
    <row r="569" customFormat="1" x14ac:dyDescent="0.35"/>
    <row r="570" customFormat="1" x14ac:dyDescent="0.35"/>
    <row r="571" customFormat="1" x14ac:dyDescent="0.35"/>
    <row r="572" customFormat="1" x14ac:dyDescent="0.35"/>
    <row r="573" customFormat="1" x14ac:dyDescent="0.35"/>
    <row r="574" customFormat="1" x14ac:dyDescent="0.35"/>
    <row r="575" customFormat="1" x14ac:dyDescent="0.35"/>
    <row r="576" customFormat="1" x14ac:dyDescent="0.35"/>
    <row r="577" customFormat="1" x14ac:dyDescent="0.35"/>
    <row r="578" customFormat="1" x14ac:dyDescent="0.35"/>
    <row r="579" customFormat="1" x14ac:dyDescent="0.35"/>
    <row r="580" customFormat="1" x14ac:dyDescent="0.35"/>
    <row r="581" customFormat="1" x14ac:dyDescent="0.35"/>
    <row r="582" customFormat="1" x14ac:dyDescent="0.35"/>
    <row r="583" customFormat="1" x14ac:dyDescent="0.35"/>
    <row r="584" customFormat="1" x14ac:dyDescent="0.35"/>
    <row r="585" customFormat="1" x14ac:dyDescent="0.35"/>
    <row r="586" customFormat="1" x14ac:dyDescent="0.35"/>
    <row r="587" customFormat="1" x14ac:dyDescent="0.35"/>
    <row r="588" customFormat="1" x14ac:dyDescent="0.35"/>
    <row r="589" customFormat="1" x14ac:dyDescent="0.35"/>
    <row r="590" customFormat="1" x14ac:dyDescent="0.35"/>
    <row r="591" customFormat="1" x14ac:dyDescent="0.35"/>
    <row r="592" customFormat="1" x14ac:dyDescent="0.35"/>
    <row r="593" customFormat="1" x14ac:dyDescent="0.35"/>
    <row r="594" customFormat="1" x14ac:dyDescent="0.35"/>
    <row r="595" customFormat="1" x14ac:dyDescent="0.35"/>
    <row r="596" customFormat="1" x14ac:dyDescent="0.35"/>
    <row r="597" customFormat="1" x14ac:dyDescent="0.35"/>
    <row r="598" customFormat="1" x14ac:dyDescent="0.35"/>
    <row r="599" customFormat="1" x14ac:dyDescent="0.35"/>
    <row r="600" customFormat="1" x14ac:dyDescent="0.35"/>
    <row r="601" customFormat="1" x14ac:dyDescent="0.35"/>
    <row r="602" customFormat="1" x14ac:dyDescent="0.35"/>
    <row r="603" customFormat="1" x14ac:dyDescent="0.35"/>
    <row r="604" customFormat="1" x14ac:dyDescent="0.35"/>
    <row r="605" customFormat="1" x14ac:dyDescent="0.35"/>
    <row r="606" customFormat="1" x14ac:dyDescent="0.35"/>
    <row r="607" customFormat="1" x14ac:dyDescent="0.35"/>
    <row r="608" customFormat="1" x14ac:dyDescent="0.35"/>
    <row r="609" customFormat="1" x14ac:dyDescent="0.35"/>
    <row r="610" customFormat="1" x14ac:dyDescent="0.35"/>
    <row r="611" customFormat="1" x14ac:dyDescent="0.35"/>
    <row r="612" customFormat="1" x14ac:dyDescent="0.35"/>
    <row r="613" customFormat="1" x14ac:dyDescent="0.35"/>
    <row r="614" customFormat="1" x14ac:dyDescent="0.35"/>
    <row r="615" customFormat="1" x14ac:dyDescent="0.35"/>
    <row r="616" customFormat="1" x14ac:dyDescent="0.35"/>
    <row r="617" customFormat="1" x14ac:dyDescent="0.35"/>
    <row r="618" customFormat="1" x14ac:dyDescent="0.35"/>
    <row r="619" customFormat="1" x14ac:dyDescent="0.35"/>
    <row r="620" customFormat="1" x14ac:dyDescent="0.35"/>
    <row r="621" customFormat="1" x14ac:dyDescent="0.35"/>
    <row r="622" customFormat="1" x14ac:dyDescent="0.35"/>
    <row r="623" customFormat="1" x14ac:dyDescent="0.35"/>
    <row r="624" customFormat="1" x14ac:dyDescent="0.35"/>
    <row r="625" customFormat="1" x14ac:dyDescent="0.35"/>
    <row r="626" customFormat="1" x14ac:dyDescent="0.35"/>
    <row r="627" customFormat="1" x14ac:dyDescent="0.35"/>
    <row r="628" customFormat="1" x14ac:dyDescent="0.35"/>
    <row r="629" customFormat="1" x14ac:dyDescent="0.35"/>
    <row r="630" customFormat="1" x14ac:dyDescent="0.35"/>
    <row r="631" customFormat="1" x14ac:dyDescent="0.35"/>
    <row r="632" customFormat="1" x14ac:dyDescent="0.35"/>
    <row r="633" customFormat="1" x14ac:dyDescent="0.35"/>
    <row r="634" customFormat="1" x14ac:dyDescent="0.35"/>
    <row r="635" customFormat="1" x14ac:dyDescent="0.35"/>
    <row r="636" customFormat="1" x14ac:dyDescent="0.35"/>
    <row r="637" customFormat="1" x14ac:dyDescent="0.35"/>
    <row r="638" customFormat="1" x14ac:dyDescent="0.35"/>
    <row r="639" customFormat="1" x14ac:dyDescent="0.35"/>
    <row r="640" customFormat="1" x14ac:dyDescent="0.35"/>
    <row r="641" customFormat="1" x14ac:dyDescent="0.35"/>
    <row r="642" customFormat="1" x14ac:dyDescent="0.35"/>
    <row r="643" customFormat="1" x14ac:dyDescent="0.35"/>
    <row r="644" customFormat="1" x14ac:dyDescent="0.35"/>
    <row r="645" customFormat="1" x14ac:dyDescent="0.35"/>
    <row r="646" customFormat="1" x14ac:dyDescent="0.35"/>
    <row r="647" customFormat="1" x14ac:dyDescent="0.35"/>
    <row r="648" customFormat="1" x14ac:dyDescent="0.35"/>
    <row r="649" customFormat="1" x14ac:dyDescent="0.35"/>
    <row r="650" customFormat="1" x14ac:dyDescent="0.35"/>
    <row r="651" customFormat="1" x14ac:dyDescent="0.35"/>
    <row r="652" customFormat="1" x14ac:dyDescent="0.35"/>
    <row r="653" customFormat="1" x14ac:dyDescent="0.35"/>
    <row r="654" customFormat="1" x14ac:dyDescent="0.35"/>
    <row r="655" customFormat="1" x14ac:dyDescent="0.35"/>
    <row r="656" customFormat="1" x14ac:dyDescent="0.35"/>
    <row r="657" customFormat="1" x14ac:dyDescent="0.35"/>
    <row r="658" customFormat="1" x14ac:dyDescent="0.35"/>
    <row r="659" customFormat="1" x14ac:dyDescent="0.35"/>
    <row r="660" customFormat="1" x14ac:dyDescent="0.35"/>
    <row r="661" customFormat="1" x14ac:dyDescent="0.35"/>
    <row r="662" customFormat="1" x14ac:dyDescent="0.35"/>
    <row r="663" customFormat="1" x14ac:dyDescent="0.35"/>
    <row r="664" customFormat="1" x14ac:dyDescent="0.35"/>
    <row r="665" customFormat="1" x14ac:dyDescent="0.35"/>
    <row r="666" customFormat="1" x14ac:dyDescent="0.35"/>
    <row r="667" customFormat="1" x14ac:dyDescent="0.35"/>
    <row r="668" customFormat="1" x14ac:dyDescent="0.35"/>
    <row r="669" customFormat="1" x14ac:dyDescent="0.35"/>
    <row r="670" customFormat="1" x14ac:dyDescent="0.35"/>
    <row r="671" customFormat="1" x14ac:dyDescent="0.35"/>
    <row r="672" customFormat="1" x14ac:dyDescent="0.35"/>
    <row r="673" customFormat="1" x14ac:dyDescent="0.35"/>
    <row r="674" customFormat="1" x14ac:dyDescent="0.35"/>
    <row r="675" customFormat="1" x14ac:dyDescent="0.35"/>
    <row r="676" customFormat="1" x14ac:dyDescent="0.35"/>
    <row r="677" customFormat="1" x14ac:dyDescent="0.35"/>
    <row r="678" customFormat="1" x14ac:dyDescent="0.35"/>
    <row r="679" customFormat="1" x14ac:dyDescent="0.35"/>
    <row r="680" customFormat="1" x14ac:dyDescent="0.35"/>
    <row r="681" customFormat="1" x14ac:dyDescent="0.35"/>
    <row r="682" customFormat="1" x14ac:dyDescent="0.35"/>
    <row r="683" customFormat="1" x14ac:dyDescent="0.35"/>
    <row r="684" customFormat="1" x14ac:dyDescent="0.35"/>
    <row r="685" customFormat="1" x14ac:dyDescent="0.35"/>
    <row r="686" customFormat="1" x14ac:dyDescent="0.35"/>
    <row r="687" customFormat="1" x14ac:dyDescent="0.35"/>
    <row r="688" customFormat="1" x14ac:dyDescent="0.35"/>
    <row r="689" customFormat="1" x14ac:dyDescent="0.35"/>
    <row r="690" customFormat="1" x14ac:dyDescent="0.35"/>
    <row r="691" customFormat="1" x14ac:dyDescent="0.35"/>
    <row r="692" customFormat="1" x14ac:dyDescent="0.35"/>
    <row r="693" customFormat="1" x14ac:dyDescent="0.35"/>
    <row r="694" customFormat="1" x14ac:dyDescent="0.35"/>
    <row r="695" customFormat="1" x14ac:dyDescent="0.35"/>
    <row r="696" customFormat="1" x14ac:dyDescent="0.35"/>
    <row r="697" customFormat="1" x14ac:dyDescent="0.35"/>
    <row r="698" customFormat="1" x14ac:dyDescent="0.35"/>
    <row r="699" customFormat="1" x14ac:dyDescent="0.35"/>
    <row r="700" customFormat="1" x14ac:dyDescent="0.35"/>
    <row r="701" customFormat="1" x14ac:dyDescent="0.35"/>
    <row r="702" customFormat="1" x14ac:dyDescent="0.35"/>
    <row r="703" customFormat="1" x14ac:dyDescent="0.35"/>
    <row r="704" customFormat="1" x14ac:dyDescent="0.35"/>
    <row r="705" customFormat="1" x14ac:dyDescent="0.35"/>
    <row r="706" customFormat="1" x14ac:dyDescent="0.35"/>
    <row r="707" customFormat="1" x14ac:dyDescent="0.35"/>
    <row r="708" customFormat="1" x14ac:dyDescent="0.35"/>
    <row r="709" customFormat="1" x14ac:dyDescent="0.35"/>
    <row r="710" customFormat="1" x14ac:dyDescent="0.35"/>
    <row r="711" customFormat="1" x14ac:dyDescent="0.35"/>
    <row r="712" customFormat="1" x14ac:dyDescent="0.35"/>
    <row r="713" customFormat="1" x14ac:dyDescent="0.35"/>
    <row r="714" customFormat="1" x14ac:dyDescent="0.35"/>
    <row r="715" customFormat="1" x14ac:dyDescent="0.35"/>
    <row r="716" customFormat="1" x14ac:dyDescent="0.35"/>
    <row r="717" customFormat="1" x14ac:dyDescent="0.35"/>
    <row r="718" customFormat="1" x14ac:dyDescent="0.35"/>
    <row r="719" customFormat="1" x14ac:dyDescent="0.35"/>
    <row r="720" customFormat="1" x14ac:dyDescent="0.35"/>
    <row r="721" customFormat="1" x14ac:dyDescent="0.35"/>
    <row r="722" customFormat="1" x14ac:dyDescent="0.35"/>
    <row r="723" customFormat="1" x14ac:dyDescent="0.35"/>
    <row r="724" customFormat="1" x14ac:dyDescent="0.35"/>
    <row r="725" customFormat="1" x14ac:dyDescent="0.35"/>
    <row r="726" customFormat="1" x14ac:dyDescent="0.35"/>
    <row r="727" customFormat="1" x14ac:dyDescent="0.35"/>
    <row r="728" customFormat="1" x14ac:dyDescent="0.35"/>
    <row r="729" customFormat="1" x14ac:dyDescent="0.35"/>
    <row r="730" customFormat="1" x14ac:dyDescent="0.35"/>
    <row r="731" customFormat="1" x14ac:dyDescent="0.35"/>
    <row r="732" customFormat="1" x14ac:dyDescent="0.35"/>
    <row r="733" customFormat="1" x14ac:dyDescent="0.35"/>
    <row r="734" customFormat="1" x14ac:dyDescent="0.35"/>
    <row r="735" customFormat="1" x14ac:dyDescent="0.35"/>
    <row r="736" customFormat="1" x14ac:dyDescent="0.35"/>
    <row r="737" customFormat="1" x14ac:dyDescent="0.35"/>
    <row r="738" customFormat="1" x14ac:dyDescent="0.35"/>
    <row r="739" customFormat="1" x14ac:dyDescent="0.35"/>
    <row r="740" customFormat="1" x14ac:dyDescent="0.35"/>
    <row r="741" customFormat="1" x14ac:dyDescent="0.35"/>
    <row r="742" customFormat="1" x14ac:dyDescent="0.35"/>
    <row r="743" customFormat="1" x14ac:dyDescent="0.35"/>
    <row r="744" customFormat="1" x14ac:dyDescent="0.35"/>
    <row r="745" customFormat="1" x14ac:dyDescent="0.35"/>
    <row r="746" customFormat="1" x14ac:dyDescent="0.35"/>
    <row r="747" customFormat="1" x14ac:dyDescent="0.35"/>
    <row r="748" customFormat="1" x14ac:dyDescent="0.35"/>
    <row r="749" customFormat="1" x14ac:dyDescent="0.35"/>
    <row r="750" customFormat="1" x14ac:dyDescent="0.35"/>
    <row r="751" customFormat="1" x14ac:dyDescent="0.35"/>
    <row r="752" customFormat="1" x14ac:dyDescent="0.35"/>
    <row r="753" customFormat="1" x14ac:dyDescent="0.35"/>
    <row r="754" customFormat="1" x14ac:dyDescent="0.35"/>
    <row r="755" customFormat="1" x14ac:dyDescent="0.35"/>
    <row r="756" customFormat="1" x14ac:dyDescent="0.35"/>
    <row r="757" customFormat="1" x14ac:dyDescent="0.35"/>
    <row r="758" customFormat="1" x14ac:dyDescent="0.35"/>
    <row r="759" customFormat="1" x14ac:dyDescent="0.35"/>
    <row r="760" customFormat="1" x14ac:dyDescent="0.35"/>
    <row r="761" customFormat="1" x14ac:dyDescent="0.35"/>
    <row r="762" customFormat="1" x14ac:dyDescent="0.35"/>
    <row r="763" customFormat="1" x14ac:dyDescent="0.35"/>
    <row r="764" customFormat="1" x14ac:dyDescent="0.35"/>
    <row r="765" customFormat="1" x14ac:dyDescent="0.35"/>
    <row r="766" customFormat="1" x14ac:dyDescent="0.35"/>
    <row r="767" customFormat="1" x14ac:dyDescent="0.35"/>
    <row r="768" customFormat="1" x14ac:dyDescent="0.35"/>
    <row r="769" customFormat="1" x14ac:dyDescent="0.35"/>
    <row r="770" customFormat="1" x14ac:dyDescent="0.35"/>
    <row r="771" customFormat="1" x14ac:dyDescent="0.35"/>
    <row r="772" customFormat="1" x14ac:dyDescent="0.35"/>
    <row r="773" customFormat="1" x14ac:dyDescent="0.35"/>
    <row r="774" customFormat="1" x14ac:dyDescent="0.35"/>
    <row r="775" customFormat="1" x14ac:dyDescent="0.35"/>
    <row r="776" customFormat="1" x14ac:dyDescent="0.35"/>
    <row r="777" customFormat="1" x14ac:dyDescent="0.35"/>
    <row r="778" customFormat="1" x14ac:dyDescent="0.35"/>
    <row r="779" customFormat="1" x14ac:dyDescent="0.35"/>
    <row r="780" customFormat="1" x14ac:dyDescent="0.35"/>
    <row r="781" customFormat="1" x14ac:dyDescent="0.35"/>
    <row r="782" customFormat="1" x14ac:dyDescent="0.35"/>
    <row r="783" customFormat="1" x14ac:dyDescent="0.35"/>
    <row r="784" customFormat="1" x14ac:dyDescent="0.35"/>
    <row r="785" customFormat="1" x14ac:dyDescent="0.35"/>
    <row r="786" customFormat="1" x14ac:dyDescent="0.35"/>
    <row r="787" customFormat="1" x14ac:dyDescent="0.35"/>
    <row r="788" customFormat="1" x14ac:dyDescent="0.35"/>
    <row r="789" customFormat="1" x14ac:dyDescent="0.35"/>
    <row r="790" customFormat="1" x14ac:dyDescent="0.35"/>
    <row r="791" customFormat="1" x14ac:dyDescent="0.35"/>
    <row r="792" customFormat="1" x14ac:dyDescent="0.35"/>
    <row r="793" customFormat="1" x14ac:dyDescent="0.35"/>
    <row r="794" customFormat="1" x14ac:dyDescent="0.35"/>
    <row r="795" customFormat="1" x14ac:dyDescent="0.35"/>
    <row r="796" customFormat="1" x14ac:dyDescent="0.35"/>
    <row r="797" customFormat="1" x14ac:dyDescent="0.35"/>
    <row r="798" customFormat="1" x14ac:dyDescent="0.35"/>
    <row r="799" customFormat="1" x14ac:dyDescent="0.35"/>
    <row r="800" customFormat="1" x14ac:dyDescent="0.35"/>
    <row r="801" customFormat="1" x14ac:dyDescent="0.35"/>
    <row r="802" customFormat="1" x14ac:dyDescent="0.35"/>
    <row r="803" customFormat="1" x14ac:dyDescent="0.35"/>
    <row r="804" customFormat="1" x14ac:dyDescent="0.35"/>
    <row r="805" customFormat="1" x14ac:dyDescent="0.35"/>
    <row r="806" customFormat="1" x14ac:dyDescent="0.35"/>
    <row r="807" customFormat="1" x14ac:dyDescent="0.35"/>
    <row r="808" customFormat="1" x14ac:dyDescent="0.35"/>
    <row r="809" customFormat="1" x14ac:dyDescent="0.35"/>
    <row r="810" customFormat="1" x14ac:dyDescent="0.35"/>
    <row r="811" customFormat="1" x14ac:dyDescent="0.35"/>
    <row r="812" customFormat="1" x14ac:dyDescent="0.35"/>
    <row r="813" customFormat="1" x14ac:dyDescent="0.35"/>
    <row r="814" customFormat="1" x14ac:dyDescent="0.35"/>
    <row r="815" customFormat="1" x14ac:dyDescent="0.35"/>
    <row r="816" customFormat="1" x14ac:dyDescent="0.35"/>
    <row r="817" customFormat="1" x14ac:dyDescent="0.35"/>
    <row r="818" customFormat="1" x14ac:dyDescent="0.35"/>
    <row r="819" customFormat="1" x14ac:dyDescent="0.35"/>
    <row r="820" customFormat="1" x14ac:dyDescent="0.35"/>
    <row r="821" customFormat="1" x14ac:dyDescent="0.35"/>
    <row r="822" customFormat="1" x14ac:dyDescent="0.35"/>
    <row r="823" customFormat="1" x14ac:dyDescent="0.35"/>
    <row r="824" customFormat="1" x14ac:dyDescent="0.35"/>
    <row r="825" customFormat="1" x14ac:dyDescent="0.35"/>
    <row r="826" customFormat="1" x14ac:dyDescent="0.35"/>
    <row r="827" customFormat="1" x14ac:dyDescent="0.35"/>
    <row r="828" customFormat="1" x14ac:dyDescent="0.35"/>
    <row r="829" customFormat="1" x14ac:dyDescent="0.35"/>
    <row r="830" customFormat="1" x14ac:dyDescent="0.35"/>
    <row r="831" customFormat="1" x14ac:dyDescent="0.35"/>
    <row r="832" customFormat="1" x14ac:dyDescent="0.35"/>
    <row r="833" customFormat="1" x14ac:dyDescent="0.35"/>
    <row r="834" customFormat="1" x14ac:dyDescent="0.35"/>
    <row r="835" customFormat="1" x14ac:dyDescent="0.35"/>
    <row r="836" customFormat="1" x14ac:dyDescent="0.35"/>
    <row r="837" customFormat="1" x14ac:dyDescent="0.35"/>
    <row r="838" customFormat="1" x14ac:dyDescent="0.35"/>
    <row r="839" customFormat="1" x14ac:dyDescent="0.35"/>
    <row r="840" customFormat="1" x14ac:dyDescent="0.35"/>
    <row r="841" customFormat="1" x14ac:dyDescent="0.35"/>
    <row r="842" customFormat="1" x14ac:dyDescent="0.35"/>
    <row r="843" customFormat="1" x14ac:dyDescent="0.35"/>
    <row r="844" customFormat="1" x14ac:dyDescent="0.35"/>
    <row r="845" customFormat="1" x14ac:dyDescent="0.35"/>
    <row r="846" customFormat="1" x14ac:dyDescent="0.35"/>
    <row r="847" customFormat="1" x14ac:dyDescent="0.35"/>
    <row r="848" customFormat="1" x14ac:dyDescent="0.35"/>
    <row r="849" customFormat="1" x14ac:dyDescent="0.35"/>
    <row r="850" customFormat="1" x14ac:dyDescent="0.35"/>
    <row r="851" customFormat="1" x14ac:dyDescent="0.35"/>
    <row r="852" customFormat="1" x14ac:dyDescent="0.35"/>
    <row r="853" customFormat="1" x14ac:dyDescent="0.35"/>
    <row r="854" customFormat="1" x14ac:dyDescent="0.35"/>
    <row r="855" customFormat="1" x14ac:dyDescent="0.35"/>
    <row r="856" customFormat="1" x14ac:dyDescent="0.35"/>
    <row r="857" customFormat="1" x14ac:dyDescent="0.35"/>
    <row r="858" customFormat="1" x14ac:dyDescent="0.35"/>
    <row r="859" customFormat="1" x14ac:dyDescent="0.35"/>
    <row r="860" customFormat="1" x14ac:dyDescent="0.35"/>
    <row r="861" customFormat="1" x14ac:dyDescent="0.35"/>
    <row r="862" customFormat="1" x14ac:dyDescent="0.35"/>
    <row r="863" customFormat="1" x14ac:dyDescent="0.35"/>
    <row r="864" customFormat="1" x14ac:dyDescent="0.35"/>
    <row r="865" customFormat="1" x14ac:dyDescent="0.35"/>
    <row r="866" customFormat="1" x14ac:dyDescent="0.35"/>
    <row r="867" customFormat="1" x14ac:dyDescent="0.35"/>
    <row r="868" customFormat="1" x14ac:dyDescent="0.35"/>
    <row r="869" customFormat="1" x14ac:dyDescent="0.35"/>
    <row r="870" customFormat="1" x14ac:dyDescent="0.35"/>
    <row r="871" customFormat="1" x14ac:dyDescent="0.35"/>
    <row r="872" customFormat="1" x14ac:dyDescent="0.35"/>
    <row r="873" customFormat="1" x14ac:dyDescent="0.35"/>
    <row r="874" customFormat="1" x14ac:dyDescent="0.35"/>
    <row r="875" customFormat="1" x14ac:dyDescent="0.35"/>
    <row r="876" customFormat="1" x14ac:dyDescent="0.35"/>
    <row r="877" customFormat="1" x14ac:dyDescent="0.35"/>
    <row r="878" customFormat="1" x14ac:dyDescent="0.35"/>
    <row r="879" customFormat="1" x14ac:dyDescent="0.35"/>
    <row r="880" customFormat="1" x14ac:dyDescent="0.35"/>
    <row r="881" customFormat="1" x14ac:dyDescent="0.35"/>
    <row r="882" customFormat="1" x14ac:dyDescent="0.35"/>
    <row r="883" customFormat="1" x14ac:dyDescent="0.35"/>
    <row r="884" customFormat="1" x14ac:dyDescent="0.35"/>
    <row r="885" customFormat="1" x14ac:dyDescent="0.35"/>
    <row r="886" customFormat="1" x14ac:dyDescent="0.35"/>
    <row r="887" customFormat="1" x14ac:dyDescent="0.35"/>
    <row r="888" customFormat="1" x14ac:dyDescent="0.35"/>
    <row r="889" customFormat="1" x14ac:dyDescent="0.35"/>
    <row r="890" customFormat="1" x14ac:dyDescent="0.35"/>
    <row r="891" customFormat="1" x14ac:dyDescent="0.35"/>
    <row r="892" customFormat="1" x14ac:dyDescent="0.35"/>
    <row r="893" customFormat="1" x14ac:dyDescent="0.35"/>
    <row r="894" customFormat="1" x14ac:dyDescent="0.35"/>
    <row r="895" customFormat="1" x14ac:dyDescent="0.35"/>
    <row r="896" customFormat="1" x14ac:dyDescent="0.35"/>
    <row r="897" customFormat="1" x14ac:dyDescent="0.35"/>
    <row r="898" customFormat="1" x14ac:dyDescent="0.35"/>
    <row r="899" customFormat="1" x14ac:dyDescent="0.35"/>
    <row r="900" customFormat="1" x14ac:dyDescent="0.35"/>
    <row r="901" customFormat="1" x14ac:dyDescent="0.35"/>
    <row r="902" customFormat="1" x14ac:dyDescent="0.35"/>
    <row r="903" customFormat="1" x14ac:dyDescent="0.35"/>
    <row r="904" customFormat="1" x14ac:dyDescent="0.35"/>
    <row r="905" customFormat="1" x14ac:dyDescent="0.35"/>
    <row r="906" customFormat="1" x14ac:dyDescent="0.35"/>
    <row r="907" customFormat="1" x14ac:dyDescent="0.35"/>
    <row r="908" customFormat="1" x14ac:dyDescent="0.35"/>
    <row r="909" customFormat="1" x14ac:dyDescent="0.35"/>
    <row r="910" customFormat="1" x14ac:dyDescent="0.35"/>
    <row r="911" customFormat="1" x14ac:dyDescent="0.35"/>
    <row r="912" customFormat="1" x14ac:dyDescent="0.35"/>
    <row r="913" customFormat="1" x14ac:dyDescent="0.35"/>
    <row r="914" customFormat="1" x14ac:dyDescent="0.35"/>
    <row r="915" customFormat="1" x14ac:dyDescent="0.35"/>
    <row r="916" customFormat="1" x14ac:dyDescent="0.35"/>
    <row r="917" customFormat="1" x14ac:dyDescent="0.35"/>
    <row r="918" customFormat="1" x14ac:dyDescent="0.35"/>
    <row r="919" customFormat="1" x14ac:dyDescent="0.35"/>
    <row r="920" customFormat="1" x14ac:dyDescent="0.35"/>
    <row r="921" customFormat="1" x14ac:dyDescent="0.35"/>
    <row r="922" customFormat="1" x14ac:dyDescent="0.35"/>
    <row r="923" customFormat="1" x14ac:dyDescent="0.35"/>
    <row r="924" customFormat="1" x14ac:dyDescent="0.35"/>
    <row r="925" customFormat="1" x14ac:dyDescent="0.35"/>
    <row r="926" customFormat="1" x14ac:dyDescent="0.35"/>
    <row r="927" customFormat="1" x14ac:dyDescent="0.35"/>
    <row r="928" customFormat="1" x14ac:dyDescent="0.35"/>
    <row r="929" customFormat="1" x14ac:dyDescent="0.35"/>
    <row r="930" customFormat="1" x14ac:dyDescent="0.35"/>
    <row r="931" customFormat="1" x14ac:dyDescent="0.35"/>
    <row r="932" customFormat="1" x14ac:dyDescent="0.35"/>
    <row r="933" customFormat="1" x14ac:dyDescent="0.35"/>
    <row r="934" customFormat="1" x14ac:dyDescent="0.35"/>
    <row r="935" customFormat="1" x14ac:dyDescent="0.35"/>
    <row r="936" customFormat="1" x14ac:dyDescent="0.35"/>
    <row r="937" customFormat="1" x14ac:dyDescent="0.35"/>
    <row r="938" customFormat="1" x14ac:dyDescent="0.35"/>
    <row r="939" customFormat="1" x14ac:dyDescent="0.35"/>
    <row r="940" customFormat="1" x14ac:dyDescent="0.35"/>
    <row r="941" customFormat="1" x14ac:dyDescent="0.35"/>
    <row r="942" customFormat="1" x14ac:dyDescent="0.35"/>
    <row r="943" customFormat="1" x14ac:dyDescent="0.35"/>
    <row r="944" customFormat="1" x14ac:dyDescent="0.35"/>
    <row r="945" customFormat="1" x14ac:dyDescent="0.35"/>
    <row r="946" customFormat="1" x14ac:dyDescent="0.35"/>
    <row r="947" customFormat="1" x14ac:dyDescent="0.35"/>
    <row r="948" customFormat="1" x14ac:dyDescent="0.35"/>
    <row r="949" customFormat="1" x14ac:dyDescent="0.35"/>
    <row r="950" customFormat="1" x14ac:dyDescent="0.35"/>
    <row r="951" customFormat="1" x14ac:dyDescent="0.35"/>
    <row r="952" customFormat="1" x14ac:dyDescent="0.35"/>
    <row r="953" customFormat="1" x14ac:dyDescent="0.35"/>
    <row r="954" customFormat="1" x14ac:dyDescent="0.35"/>
    <row r="955" customFormat="1" x14ac:dyDescent="0.35"/>
    <row r="956" customFormat="1" x14ac:dyDescent="0.35"/>
    <row r="957" customFormat="1" x14ac:dyDescent="0.35"/>
    <row r="958" customFormat="1" x14ac:dyDescent="0.35"/>
    <row r="959" customFormat="1" x14ac:dyDescent="0.35"/>
    <row r="960" customFormat="1" x14ac:dyDescent="0.35"/>
    <row r="961" customFormat="1" x14ac:dyDescent="0.35"/>
    <row r="962" customFormat="1" x14ac:dyDescent="0.35"/>
    <row r="963" customFormat="1" x14ac:dyDescent="0.35"/>
    <row r="964" customFormat="1" x14ac:dyDescent="0.35"/>
    <row r="965" customFormat="1" x14ac:dyDescent="0.35"/>
    <row r="966" customFormat="1" x14ac:dyDescent="0.35"/>
    <row r="967" customFormat="1" x14ac:dyDescent="0.35"/>
    <row r="968" customFormat="1" x14ac:dyDescent="0.35"/>
    <row r="969" customFormat="1" x14ac:dyDescent="0.35"/>
    <row r="970" customFormat="1" x14ac:dyDescent="0.35"/>
    <row r="971" customFormat="1" x14ac:dyDescent="0.35"/>
    <row r="972" customFormat="1" x14ac:dyDescent="0.35"/>
    <row r="973" customFormat="1" x14ac:dyDescent="0.35"/>
    <row r="974" customFormat="1" x14ac:dyDescent="0.35"/>
    <row r="975" customFormat="1" x14ac:dyDescent="0.35"/>
    <row r="976" customFormat="1" x14ac:dyDescent="0.35"/>
    <row r="977" customFormat="1" x14ac:dyDescent="0.35"/>
    <row r="978" customFormat="1" x14ac:dyDescent="0.35"/>
    <row r="979" customFormat="1" x14ac:dyDescent="0.35"/>
    <row r="980" customFormat="1" x14ac:dyDescent="0.35"/>
    <row r="981" customFormat="1" x14ac:dyDescent="0.35"/>
    <row r="982" customFormat="1" x14ac:dyDescent="0.35"/>
    <row r="983" customFormat="1" x14ac:dyDescent="0.35"/>
    <row r="984" customFormat="1" x14ac:dyDescent="0.35"/>
    <row r="985" customFormat="1" x14ac:dyDescent="0.35"/>
    <row r="986" customFormat="1" x14ac:dyDescent="0.35"/>
    <row r="987" customFormat="1" x14ac:dyDescent="0.35"/>
    <row r="988" customFormat="1" x14ac:dyDescent="0.35"/>
    <row r="989" customFormat="1" x14ac:dyDescent="0.35"/>
    <row r="990" customFormat="1" x14ac:dyDescent="0.35"/>
    <row r="991" customFormat="1" x14ac:dyDescent="0.35"/>
    <row r="992" customFormat="1" x14ac:dyDescent="0.35"/>
    <row r="993" customFormat="1" x14ac:dyDescent="0.35"/>
    <row r="994" customFormat="1" x14ac:dyDescent="0.35"/>
    <row r="995" customFormat="1" x14ac:dyDescent="0.35"/>
    <row r="996" customFormat="1" x14ac:dyDescent="0.35"/>
    <row r="997" customFormat="1" x14ac:dyDescent="0.35"/>
    <row r="998" customFormat="1" x14ac:dyDescent="0.35"/>
    <row r="999" customFormat="1" x14ac:dyDescent="0.35"/>
    <row r="1000" customFormat="1" x14ac:dyDescent="0.35"/>
    <row r="1001" customFormat="1" x14ac:dyDescent="0.35"/>
    <row r="1002" customFormat="1" x14ac:dyDescent="0.35"/>
    <row r="1003" customFormat="1" x14ac:dyDescent="0.35"/>
    <row r="1004" customFormat="1" x14ac:dyDescent="0.35"/>
    <row r="1005" customFormat="1" x14ac:dyDescent="0.35"/>
    <row r="1006" customFormat="1" x14ac:dyDescent="0.35"/>
    <row r="1007" customFormat="1" x14ac:dyDescent="0.35"/>
    <row r="1008" customFormat="1" x14ac:dyDescent="0.35"/>
    <row r="1009" customFormat="1" x14ac:dyDescent="0.35"/>
    <row r="1010" customFormat="1" x14ac:dyDescent="0.35"/>
    <row r="1011" customFormat="1" x14ac:dyDescent="0.35"/>
    <row r="1012" customFormat="1" x14ac:dyDescent="0.35"/>
    <row r="1013" customFormat="1" x14ac:dyDescent="0.35"/>
    <row r="1014" customFormat="1" x14ac:dyDescent="0.35"/>
    <row r="1015" customFormat="1" x14ac:dyDescent="0.35"/>
    <row r="1016" customFormat="1" x14ac:dyDescent="0.35"/>
    <row r="1017" customFormat="1" x14ac:dyDescent="0.35"/>
    <row r="1018" customFormat="1" x14ac:dyDescent="0.35"/>
    <row r="1019" customFormat="1" x14ac:dyDescent="0.35"/>
    <row r="1020" customFormat="1" x14ac:dyDescent="0.35"/>
    <row r="1021" customFormat="1" x14ac:dyDescent="0.35"/>
    <row r="1022" customFormat="1" x14ac:dyDescent="0.35"/>
    <row r="1023" customFormat="1" x14ac:dyDescent="0.35"/>
    <row r="1024" customFormat="1" x14ac:dyDescent="0.35"/>
    <row r="1025" customFormat="1" x14ac:dyDescent="0.35"/>
    <row r="1026" customFormat="1" x14ac:dyDescent="0.35"/>
    <row r="1027" customFormat="1" x14ac:dyDescent="0.35"/>
    <row r="1028" customFormat="1" x14ac:dyDescent="0.35"/>
    <row r="1029" customFormat="1" x14ac:dyDescent="0.35"/>
    <row r="1030" customFormat="1" x14ac:dyDescent="0.35"/>
    <row r="1031" customFormat="1" x14ac:dyDescent="0.35"/>
    <row r="1032" customFormat="1" x14ac:dyDescent="0.35"/>
    <row r="1033" customFormat="1" x14ac:dyDescent="0.35"/>
    <row r="1034" customFormat="1" x14ac:dyDescent="0.35"/>
    <row r="1035" customFormat="1" x14ac:dyDescent="0.35"/>
    <row r="1036" customFormat="1" x14ac:dyDescent="0.35"/>
    <row r="1037" customFormat="1" x14ac:dyDescent="0.35"/>
    <row r="1038" customFormat="1" x14ac:dyDescent="0.35"/>
    <row r="1039" customFormat="1" x14ac:dyDescent="0.35"/>
    <row r="1040" customFormat="1" x14ac:dyDescent="0.35"/>
    <row r="1041" customFormat="1" x14ac:dyDescent="0.35"/>
    <row r="1042" customFormat="1" x14ac:dyDescent="0.35"/>
    <row r="1043" customFormat="1" x14ac:dyDescent="0.35"/>
    <row r="1044" customFormat="1" x14ac:dyDescent="0.35"/>
    <row r="1045" customFormat="1" x14ac:dyDescent="0.35"/>
    <row r="1046" customFormat="1" x14ac:dyDescent="0.35"/>
    <row r="1047" customFormat="1" x14ac:dyDescent="0.35"/>
    <row r="1048" customFormat="1" x14ac:dyDescent="0.35"/>
    <row r="1049" customFormat="1" x14ac:dyDescent="0.35"/>
    <row r="1050" customFormat="1" x14ac:dyDescent="0.35"/>
    <row r="1051" customFormat="1" x14ac:dyDescent="0.35"/>
    <row r="1052" customFormat="1" x14ac:dyDescent="0.35"/>
    <row r="1053" customFormat="1" x14ac:dyDescent="0.35"/>
    <row r="1054" customFormat="1" x14ac:dyDescent="0.35"/>
    <row r="1055" customFormat="1" x14ac:dyDescent="0.35"/>
    <row r="1056" customFormat="1" x14ac:dyDescent="0.35"/>
    <row r="1057" customFormat="1" x14ac:dyDescent="0.35"/>
    <row r="1058" customFormat="1" x14ac:dyDescent="0.35"/>
    <row r="1059" customFormat="1" x14ac:dyDescent="0.35"/>
    <row r="1060" customFormat="1" x14ac:dyDescent="0.35"/>
    <row r="1061" customFormat="1" x14ac:dyDescent="0.35"/>
    <row r="1062" customFormat="1" x14ac:dyDescent="0.35"/>
    <row r="1063" customFormat="1" x14ac:dyDescent="0.35"/>
    <row r="1064" customFormat="1" x14ac:dyDescent="0.35"/>
    <row r="1065" customFormat="1" x14ac:dyDescent="0.35"/>
    <row r="1066" customFormat="1" x14ac:dyDescent="0.35"/>
    <row r="1067" customFormat="1" x14ac:dyDescent="0.35"/>
    <row r="1068" customFormat="1" x14ac:dyDescent="0.35"/>
    <row r="1069" customFormat="1" x14ac:dyDescent="0.35"/>
    <row r="1070" customFormat="1" x14ac:dyDescent="0.35"/>
    <row r="1071" customFormat="1" x14ac:dyDescent="0.35"/>
    <row r="1072" customFormat="1" x14ac:dyDescent="0.35"/>
    <row r="1073" customFormat="1" x14ac:dyDescent="0.35"/>
    <row r="1074" customFormat="1" x14ac:dyDescent="0.35"/>
    <row r="1075" customFormat="1" x14ac:dyDescent="0.35"/>
    <row r="1076" customFormat="1" x14ac:dyDescent="0.35"/>
    <row r="1077" customFormat="1" x14ac:dyDescent="0.35"/>
    <row r="1078" customFormat="1" x14ac:dyDescent="0.35"/>
    <row r="1079" customFormat="1" x14ac:dyDescent="0.35"/>
    <row r="1080" customFormat="1" x14ac:dyDescent="0.35"/>
    <row r="1081" customFormat="1" x14ac:dyDescent="0.35"/>
    <row r="1082" customFormat="1" x14ac:dyDescent="0.35"/>
    <row r="1083" customFormat="1" x14ac:dyDescent="0.35"/>
    <row r="1084" customFormat="1" x14ac:dyDescent="0.35"/>
    <row r="1085" customFormat="1" x14ac:dyDescent="0.35"/>
    <row r="1086" customFormat="1" x14ac:dyDescent="0.35"/>
    <row r="1087" customFormat="1" x14ac:dyDescent="0.35"/>
    <row r="1088" customFormat="1" x14ac:dyDescent="0.35"/>
    <row r="1089" customFormat="1" x14ac:dyDescent="0.35"/>
    <row r="1090" customFormat="1" x14ac:dyDescent="0.35"/>
    <row r="1091" customFormat="1" x14ac:dyDescent="0.35"/>
    <row r="1092" customFormat="1" x14ac:dyDescent="0.35"/>
    <row r="1093" customFormat="1" x14ac:dyDescent="0.35"/>
    <row r="1094" customFormat="1" x14ac:dyDescent="0.35"/>
    <row r="1095" customFormat="1" x14ac:dyDescent="0.35"/>
    <row r="1096" customFormat="1" x14ac:dyDescent="0.35"/>
    <row r="1097" customFormat="1" x14ac:dyDescent="0.35"/>
    <row r="1098" customFormat="1" x14ac:dyDescent="0.35"/>
    <row r="1099" customFormat="1" x14ac:dyDescent="0.35"/>
    <row r="1100" customFormat="1" x14ac:dyDescent="0.35"/>
    <row r="1101" customFormat="1" x14ac:dyDescent="0.35"/>
    <row r="1102" customFormat="1" x14ac:dyDescent="0.35"/>
    <row r="1103" customFormat="1" x14ac:dyDescent="0.35"/>
    <row r="1104" customFormat="1" x14ac:dyDescent="0.35"/>
    <row r="1105" customFormat="1" x14ac:dyDescent="0.35"/>
    <row r="1106" customFormat="1" x14ac:dyDescent="0.35"/>
    <row r="1107" customFormat="1" x14ac:dyDescent="0.35"/>
    <row r="1108" customFormat="1" x14ac:dyDescent="0.35"/>
    <row r="1109" customFormat="1" x14ac:dyDescent="0.35"/>
    <row r="1110" customFormat="1" x14ac:dyDescent="0.35"/>
    <row r="1111" customFormat="1" x14ac:dyDescent="0.35"/>
    <row r="1112" customFormat="1" x14ac:dyDescent="0.35"/>
    <row r="1113" customFormat="1" x14ac:dyDescent="0.35"/>
    <row r="1114" customFormat="1" x14ac:dyDescent="0.35"/>
    <row r="1115" customFormat="1" x14ac:dyDescent="0.35"/>
    <row r="1116" customFormat="1" x14ac:dyDescent="0.35"/>
    <row r="1117" customFormat="1" x14ac:dyDescent="0.35"/>
    <row r="1118" customFormat="1" x14ac:dyDescent="0.35"/>
    <row r="1119" customFormat="1" x14ac:dyDescent="0.35"/>
    <row r="1120" customFormat="1" x14ac:dyDescent="0.35"/>
    <row r="1121" customFormat="1" x14ac:dyDescent="0.35"/>
    <row r="1122" customFormat="1" x14ac:dyDescent="0.35"/>
    <row r="1123" customFormat="1" x14ac:dyDescent="0.35"/>
    <row r="1124" customFormat="1" x14ac:dyDescent="0.35"/>
    <row r="1125" customFormat="1" x14ac:dyDescent="0.35"/>
    <row r="1126" customFormat="1" x14ac:dyDescent="0.35"/>
    <row r="1127" customFormat="1" x14ac:dyDescent="0.35"/>
    <row r="1128" customFormat="1" x14ac:dyDescent="0.35"/>
    <row r="1129" customFormat="1" x14ac:dyDescent="0.35"/>
    <row r="1130" customFormat="1" x14ac:dyDescent="0.35"/>
    <row r="1131" customFormat="1" x14ac:dyDescent="0.35"/>
    <row r="1132" customFormat="1" x14ac:dyDescent="0.35"/>
    <row r="1133" customFormat="1" x14ac:dyDescent="0.35"/>
    <row r="1134" customFormat="1" x14ac:dyDescent="0.35"/>
    <row r="1135" customFormat="1" x14ac:dyDescent="0.35"/>
    <row r="1136" customFormat="1" x14ac:dyDescent="0.35"/>
    <row r="1137" customFormat="1" x14ac:dyDescent="0.35"/>
    <row r="1138" customFormat="1" x14ac:dyDescent="0.35"/>
    <row r="1139" customFormat="1" x14ac:dyDescent="0.35"/>
    <row r="1140" customFormat="1" x14ac:dyDescent="0.35"/>
    <row r="1141" customFormat="1" x14ac:dyDescent="0.35"/>
    <row r="1142" customFormat="1" x14ac:dyDescent="0.35"/>
    <row r="1143" customFormat="1" x14ac:dyDescent="0.35"/>
    <row r="1144" customFormat="1" x14ac:dyDescent="0.35"/>
    <row r="1145" customFormat="1" x14ac:dyDescent="0.35"/>
    <row r="1146" customFormat="1" x14ac:dyDescent="0.35"/>
    <row r="1147" customFormat="1" x14ac:dyDescent="0.35"/>
    <row r="1148" customFormat="1" x14ac:dyDescent="0.35"/>
    <row r="1149" customFormat="1" x14ac:dyDescent="0.35"/>
    <row r="1150" customFormat="1" x14ac:dyDescent="0.35"/>
    <row r="1151" customFormat="1" x14ac:dyDescent="0.35"/>
    <row r="1152" customFormat="1" x14ac:dyDescent="0.35"/>
    <row r="1153" customFormat="1" x14ac:dyDescent="0.35"/>
    <row r="1154" customFormat="1" x14ac:dyDescent="0.35"/>
    <row r="1155" customFormat="1" x14ac:dyDescent="0.35"/>
    <row r="1156" customFormat="1" x14ac:dyDescent="0.35"/>
    <row r="1157" customFormat="1" x14ac:dyDescent="0.35"/>
    <row r="1158" customFormat="1" x14ac:dyDescent="0.35"/>
    <row r="1159" customFormat="1" x14ac:dyDescent="0.35"/>
    <row r="1160" customFormat="1" x14ac:dyDescent="0.35"/>
    <row r="1161" customFormat="1" x14ac:dyDescent="0.35"/>
    <row r="1162" customFormat="1" x14ac:dyDescent="0.35"/>
    <row r="1163" customFormat="1" x14ac:dyDescent="0.35"/>
    <row r="1164" customFormat="1" x14ac:dyDescent="0.35"/>
    <row r="1165" customFormat="1" x14ac:dyDescent="0.35"/>
    <row r="1166" customFormat="1" x14ac:dyDescent="0.35"/>
    <row r="1167" customFormat="1" x14ac:dyDescent="0.35"/>
    <row r="1168" customFormat="1" x14ac:dyDescent="0.35"/>
    <row r="1169" customFormat="1" x14ac:dyDescent="0.35"/>
    <row r="1170" customFormat="1" x14ac:dyDescent="0.35"/>
    <row r="1171" customFormat="1" x14ac:dyDescent="0.35"/>
    <row r="1172" customFormat="1" x14ac:dyDescent="0.35"/>
    <row r="1173" customFormat="1" x14ac:dyDescent="0.35"/>
    <row r="1174" customFormat="1" x14ac:dyDescent="0.35"/>
    <row r="1175" customFormat="1" x14ac:dyDescent="0.35"/>
    <row r="1176" customFormat="1" x14ac:dyDescent="0.35"/>
    <row r="1177" customFormat="1" x14ac:dyDescent="0.35"/>
    <row r="1178" customFormat="1" x14ac:dyDescent="0.35"/>
    <row r="1179" customFormat="1" x14ac:dyDescent="0.35"/>
    <row r="1180" customFormat="1" x14ac:dyDescent="0.35"/>
    <row r="1181" customFormat="1" x14ac:dyDescent="0.35"/>
    <row r="1182" customFormat="1" x14ac:dyDescent="0.35"/>
    <row r="1183" customFormat="1" x14ac:dyDescent="0.35"/>
    <row r="1184" customFormat="1" x14ac:dyDescent="0.35"/>
    <row r="1185" customFormat="1" x14ac:dyDescent="0.35"/>
    <row r="1186" customFormat="1" x14ac:dyDescent="0.35"/>
    <row r="1187" customFormat="1" x14ac:dyDescent="0.35"/>
    <row r="1188" customFormat="1" x14ac:dyDescent="0.35"/>
    <row r="1189" customFormat="1" x14ac:dyDescent="0.35"/>
    <row r="1190" customFormat="1" x14ac:dyDescent="0.35"/>
    <row r="1191" customFormat="1" x14ac:dyDescent="0.35"/>
    <row r="1192" customFormat="1" x14ac:dyDescent="0.35"/>
    <row r="1193" customFormat="1" x14ac:dyDescent="0.35"/>
    <row r="1194" customFormat="1" x14ac:dyDescent="0.35"/>
    <row r="1195" customFormat="1" x14ac:dyDescent="0.35"/>
    <row r="1196" customFormat="1" x14ac:dyDescent="0.35"/>
    <row r="1197" customFormat="1" x14ac:dyDescent="0.35"/>
    <row r="1198" customFormat="1" x14ac:dyDescent="0.35"/>
    <row r="1199" customFormat="1" x14ac:dyDescent="0.35"/>
    <row r="1200" customFormat="1" x14ac:dyDescent="0.35"/>
    <row r="1201" customFormat="1" x14ac:dyDescent="0.35"/>
    <row r="1202" customFormat="1" x14ac:dyDescent="0.35"/>
    <row r="1203" customFormat="1" x14ac:dyDescent="0.35"/>
    <row r="1204" customFormat="1" x14ac:dyDescent="0.35"/>
    <row r="1205" customFormat="1" x14ac:dyDescent="0.35"/>
    <row r="1206" customFormat="1" x14ac:dyDescent="0.35"/>
    <row r="1207" customFormat="1" x14ac:dyDescent="0.35"/>
    <row r="1208" customFormat="1" x14ac:dyDescent="0.35"/>
    <row r="1209" customFormat="1" x14ac:dyDescent="0.35"/>
    <row r="1210" customFormat="1" x14ac:dyDescent="0.35"/>
    <row r="1211" customFormat="1" x14ac:dyDescent="0.35"/>
    <row r="1212" customFormat="1" x14ac:dyDescent="0.35"/>
    <row r="1213" customFormat="1" x14ac:dyDescent="0.35"/>
    <row r="1214" customFormat="1" x14ac:dyDescent="0.35"/>
    <row r="1215" customFormat="1" x14ac:dyDescent="0.35"/>
    <row r="1216" customFormat="1" x14ac:dyDescent="0.35"/>
    <row r="1217" customFormat="1" x14ac:dyDescent="0.35"/>
    <row r="1218" customFormat="1" x14ac:dyDescent="0.35"/>
    <row r="1219" customFormat="1" x14ac:dyDescent="0.35"/>
    <row r="1220" customFormat="1" x14ac:dyDescent="0.35"/>
    <row r="1221" customFormat="1" x14ac:dyDescent="0.35"/>
    <row r="1222" customFormat="1" x14ac:dyDescent="0.35"/>
    <row r="1223" customFormat="1" x14ac:dyDescent="0.35"/>
    <row r="1224" customFormat="1" x14ac:dyDescent="0.35"/>
    <row r="1225" customFormat="1" x14ac:dyDescent="0.35"/>
    <row r="1226" customFormat="1" x14ac:dyDescent="0.35"/>
    <row r="1227" customFormat="1" x14ac:dyDescent="0.35"/>
    <row r="1228" customFormat="1" x14ac:dyDescent="0.35"/>
    <row r="1229" customFormat="1" x14ac:dyDescent="0.35"/>
    <row r="1230" customFormat="1" x14ac:dyDescent="0.35"/>
    <row r="1231" customFormat="1" x14ac:dyDescent="0.35"/>
    <row r="1232" customFormat="1" x14ac:dyDescent="0.35"/>
    <row r="1233" customFormat="1" x14ac:dyDescent="0.35"/>
    <row r="1234" customFormat="1" x14ac:dyDescent="0.35"/>
    <row r="1235" customFormat="1" x14ac:dyDescent="0.35"/>
    <row r="1236" customFormat="1" x14ac:dyDescent="0.35"/>
    <row r="1237" customFormat="1" x14ac:dyDescent="0.35"/>
    <row r="1238" customFormat="1" x14ac:dyDescent="0.35"/>
    <row r="1239" customFormat="1" x14ac:dyDescent="0.35"/>
    <row r="1240" customFormat="1" x14ac:dyDescent="0.35"/>
    <row r="1241" customFormat="1" x14ac:dyDescent="0.35"/>
    <row r="1242" customFormat="1" x14ac:dyDescent="0.35"/>
    <row r="1243" customFormat="1" x14ac:dyDescent="0.35"/>
    <row r="1244" customFormat="1" x14ac:dyDescent="0.35"/>
    <row r="1245" customFormat="1" x14ac:dyDescent="0.35"/>
    <row r="1246" customFormat="1" x14ac:dyDescent="0.35"/>
    <row r="1247" customFormat="1" x14ac:dyDescent="0.35"/>
    <row r="1248" customFormat="1" x14ac:dyDescent="0.35"/>
    <row r="1249" customFormat="1" x14ac:dyDescent="0.35"/>
    <row r="1250" customFormat="1" x14ac:dyDescent="0.35"/>
    <row r="1251" customFormat="1" x14ac:dyDescent="0.35"/>
    <row r="1252" customFormat="1" x14ac:dyDescent="0.35"/>
    <row r="1253" customFormat="1" x14ac:dyDescent="0.35"/>
    <row r="1254" customFormat="1" x14ac:dyDescent="0.35"/>
    <row r="1255" customFormat="1" x14ac:dyDescent="0.35"/>
    <row r="1256" customFormat="1" x14ac:dyDescent="0.35"/>
    <row r="1257" customFormat="1" x14ac:dyDescent="0.35"/>
    <row r="1258" customFormat="1" x14ac:dyDescent="0.35"/>
    <row r="1259" customFormat="1" x14ac:dyDescent="0.35"/>
    <row r="1260" customFormat="1" x14ac:dyDescent="0.35"/>
    <row r="1261" customFormat="1" x14ac:dyDescent="0.35"/>
    <row r="1262" customFormat="1" x14ac:dyDescent="0.35"/>
    <row r="1263" customFormat="1" x14ac:dyDescent="0.35"/>
    <row r="1264" customFormat="1" x14ac:dyDescent="0.35"/>
    <row r="1265" customFormat="1" x14ac:dyDescent="0.35"/>
    <row r="1266" customFormat="1" x14ac:dyDescent="0.35"/>
    <row r="1267" customFormat="1" x14ac:dyDescent="0.35"/>
    <row r="1268" customFormat="1" x14ac:dyDescent="0.35"/>
    <row r="1269" customFormat="1" x14ac:dyDescent="0.35"/>
    <row r="1270" customFormat="1" x14ac:dyDescent="0.35"/>
    <row r="1271" customFormat="1" x14ac:dyDescent="0.35"/>
    <row r="1272" customFormat="1" x14ac:dyDescent="0.35"/>
    <row r="1273" customFormat="1" x14ac:dyDescent="0.35"/>
    <row r="1274" customFormat="1" x14ac:dyDescent="0.35"/>
    <row r="1275" customFormat="1" x14ac:dyDescent="0.35"/>
    <row r="1276" customFormat="1" x14ac:dyDescent="0.35"/>
    <row r="1277" customFormat="1" x14ac:dyDescent="0.35"/>
    <row r="1278" customFormat="1" x14ac:dyDescent="0.35"/>
    <row r="1279" customFormat="1" x14ac:dyDescent="0.35"/>
    <row r="1280" customFormat="1" x14ac:dyDescent="0.35"/>
    <row r="1281" customFormat="1" x14ac:dyDescent="0.35"/>
    <row r="1282" customFormat="1" x14ac:dyDescent="0.35"/>
    <row r="1283" customFormat="1" x14ac:dyDescent="0.35"/>
    <row r="1284" customFormat="1" x14ac:dyDescent="0.35"/>
    <row r="1285" customFormat="1" x14ac:dyDescent="0.35"/>
    <row r="1286" customFormat="1" x14ac:dyDescent="0.35"/>
    <row r="1287" customFormat="1" x14ac:dyDescent="0.35"/>
    <row r="1288" customFormat="1" x14ac:dyDescent="0.35"/>
    <row r="1289" customFormat="1" x14ac:dyDescent="0.35"/>
    <row r="1290" customFormat="1" x14ac:dyDescent="0.35"/>
    <row r="1291" customFormat="1" x14ac:dyDescent="0.35"/>
    <row r="1292" customFormat="1" x14ac:dyDescent="0.35"/>
    <row r="1293" customFormat="1" x14ac:dyDescent="0.35"/>
    <row r="1294" customFormat="1" x14ac:dyDescent="0.35"/>
    <row r="1295" customFormat="1" x14ac:dyDescent="0.35"/>
    <row r="1296" customFormat="1" x14ac:dyDescent="0.35"/>
    <row r="1297" customFormat="1" x14ac:dyDescent="0.35"/>
    <row r="1298" customFormat="1" x14ac:dyDescent="0.35"/>
    <row r="1299" customFormat="1" x14ac:dyDescent="0.35"/>
    <row r="1300" customFormat="1" x14ac:dyDescent="0.35"/>
    <row r="1301" customFormat="1" x14ac:dyDescent="0.35"/>
    <row r="1302" customFormat="1" x14ac:dyDescent="0.35"/>
    <row r="1303" customFormat="1" x14ac:dyDescent="0.35"/>
    <row r="1304" customFormat="1" x14ac:dyDescent="0.35"/>
    <row r="1305" customFormat="1" x14ac:dyDescent="0.35"/>
    <row r="1306" customFormat="1" x14ac:dyDescent="0.35"/>
    <row r="1307" customFormat="1" x14ac:dyDescent="0.35"/>
    <row r="1308" customFormat="1" x14ac:dyDescent="0.35"/>
    <row r="1309" customFormat="1" x14ac:dyDescent="0.35"/>
    <row r="1310" customFormat="1" x14ac:dyDescent="0.35"/>
    <row r="1311" customFormat="1" x14ac:dyDescent="0.35"/>
    <row r="1312" customFormat="1" x14ac:dyDescent="0.35"/>
    <row r="1313" customFormat="1" x14ac:dyDescent="0.35"/>
    <row r="1314" customFormat="1" x14ac:dyDescent="0.35"/>
    <row r="1315" customFormat="1" x14ac:dyDescent="0.35"/>
    <row r="1316" customFormat="1" x14ac:dyDescent="0.35"/>
    <row r="1317" customFormat="1" x14ac:dyDescent="0.35"/>
    <row r="1318" customFormat="1" x14ac:dyDescent="0.35"/>
    <row r="1319" customFormat="1" x14ac:dyDescent="0.35"/>
    <row r="1320" customFormat="1" x14ac:dyDescent="0.35"/>
    <row r="1321" customFormat="1" x14ac:dyDescent="0.35"/>
    <row r="1322" customFormat="1" x14ac:dyDescent="0.35"/>
    <row r="1323" customFormat="1" x14ac:dyDescent="0.35"/>
    <row r="1324" customFormat="1" x14ac:dyDescent="0.35"/>
    <row r="1325" customFormat="1" x14ac:dyDescent="0.35"/>
    <row r="1326" customFormat="1" x14ac:dyDescent="0.35"/>
    <row r="1327" customFormat="1" x14ac:dyDescent="0.35"/>
    <row r="1328" customFormat="1" x14ac:dyDescent="0.35"/>
    <row r="1329" customFormat="1" x14ac:dyDescent="0.35"/>
    <row r="1330" customFormat="1" x14ac:dyDescent="0.35"/>
    <row r="1331" customFormat="1" x14ac:dyDescent="0.35"/>
    <row r="1332" customFormat="1" x14ac:dyDescent="0.35"/>
    <row r="1333" customFormat="1" x14ac:dyDescent="0.35"/>
    <row r="1334" customFormat="1" x14ac:dyDescent="0.35"/>
    <row r="1335" customFormat="1" x14ac:dyDescent="0.35"/>
    <row r="1336" customFormat="1" x14ac:dyDescent="0.35"/>
    <row r="1337" customFormat="1" x14ac:dyDescent="0.35"/>
    <row r="1338" customFormat="1" x14ac:dyDescent="0.35"/>
    <row r="1339" customFormat="1" x14ac:dyDescent="0.35"/>
    <row r="1340" customFormat="1" x14ac:dyDescent="0.35"/>
    <row r="1341" customFormat="1" x14ac:dyDescent="0.35"/>
    <row r="1342" customFormat="1" x14ac:dyDescent="0.35"/>
    <row r="1343" customFormat="1" x14ac:dyDescent="0.35"/>
    <row r="1344" customFormat="1" x14ac:dyDescent="0.35"/>
    <row r="1345" customFormat="1" x14ac:dyDescent="0.35"/>
    <row r="1346" customFormat="1" x14ac:dyDescent="0.35"/>
    <row r="1347" customFormat="1" x14ac:dyDescent="0.35"/>
    <row r="1348" customFormat="1" x14ac:dyDescent="0.35"/>
    <row r="1349" customFormat="1" x14ac:dyDescent="0.35"/>
    <row r="1350" customFormat="1" x14ac:dyDescent="0.35"/>
    <row r="1351" customFormat="1" x14ac:dyDescent="0.35"/>
    <row r="1352" customFormat="1" x14ac:dyDescent="0.35"/>
    <row r="1353" customFormat="1" x14ac:dyDescent="0.35"/>
    <row r="1354" customFormat="1" x14ac:dyDescent="0.35"/>
    <row r="1355" customFormat="1" x14ac:dyDescent="0.35"/>
    <row r="1356" customFormat="1" x14ac:dyDescent="0.35"/>
    <row r="1357" customFormat="1" x14ac:dyDescent="0.35"/>
    <row r="1358" customFormat="1" x14ac:dyDescent="0.35"/>
    <row r="1359" customFormat="1" x14ac:dyDescent="0.35"/>
    <row r="1360" customFormat="1" x14ac:dyDescent="0.35"/>
    <row r="1361" customFormat="1" x14ac:dyDescent="0.35"/>
    <row r="1362" customFormat="1" x14ac:dyDescent="0.35"/>
    <row r="1363" customFormat="1" x14ac:dyDescent="0.35"/>
    <row r="1364" customFormat="1" x14ac:dyDescent="0.35"/>
    <row r="1365" customFormat="1" x14ac:dyDescent="0.35"/>
    <row r="1366" customFormat="1" x14ac:dyDescent="0.35"/>
    <row r="1367" customFormat="1" x14ac:dyDescent="0.35"/>
    <row r="1368" customFormat="1" x14ac:dyDescent="0.35"/>
    <row r="1369" customFormat="1" x14ac:dyDescent="0.35"/>
    <row r="1370" customFormat="1" x14ac:dyDescent="0.35"/>
    <row r="1371" customFormat="1" x14ac:dyDescent="0.35"/>
    <row r="1372" customFormat="1" x14ac:dyDescent="0.35"/>
    <row r="1373" customFormat="1" x14ac:dyDescent="0.35"/>
    <row r="1374" customFormat="1" x14ac:dyDescent="0.35"/>
    <row r="1375" customFormat="1" x14ac:dyDescent="0.35"/>
    <row r="1376" customFormat="1" x14ac:dyDescent="0.35"/>
    <row r="1377" customFormat="1" x14ac:dyDescent="0.35"/>
    <row r="1378" customFormat="1" x14ac:dyDescent="0.35"/>
    <row r="1379" customFormat="1" x14ac:dyDescent="0.35"/>
    <row r="1380" customFormat="1" x14ac:dyDescent="0.35"/>
    <row r="1381" customFormat="1" x14ac:dyDescent="0.35"/>
    <row r="1382" customFormat="1" x14ac:dyDescent="0.35"/>
    <row r="1383" customFormat="1" x14ac:dyDescent="0.35"/>
    <row r="1384" customFormat="1" x14ac:dyDescent="0.35"/>
    <row r="1385" customFormat="1" x14ac:dyDescent="0.35"/>
    <row r="1386" customFormat="1" x14ac:dyDescent="0.35"/>
    <row r="1387" customFormat="1" x14ac:dyDescent="0.35"/>
    <row r="1388" customFormat="1" x14ac:dyDescent="0.35"/>
    <row r="1389" customFormat="1" x14ac:dyDescent="0.35"/>
    <row r="1390" customFormat="1" x14ac:dyDescent="0.35"/>
    <row r="1391" customFormat="1" x14ac:dyDescent="0.35"/>
    <row r="1392" customFormat="1" x14ac:dyDescent="0.35"/>
    <row r="1393" customFormat="1" x14ac:dyDescent="0.35"/>
    <row r="1394" customFormat="1" x14ac:dyDescent="0.35"/>
    <row r="1395" customFormat="1" x14ac:dyDescent="0.35"/>
    <row r="1396" customFormat="1" x14ac:dyDescent="0.35"/>
    <row r="1397" customFormat="1" x14ac:dyDescent="0.35"/>
    <row r="1398" customFormat="1" x14ac:dyDescent="0.35"/>
    <row r="1399" customFormat="1" x14ac:dyDescent="0.35"/>
    <row r="1400" customFormat="1" x14ac:dyDescent="0.35"/>
    <row r="1401" customFormat="1" x14ac:dyDescent="0.35"/>
    <row r="1402" customFormat="1" x14ac:dyDescent="0.35"/>
    <row r="1403" customFormat="1" x14ac:dyDescent="0.35"/>
    <row r="1404" customFormat="1" x14ac:dyDescent="0.35"/>
    <row r="1405" customFormat="1" x14ac:dyDescent="0.35"/>
    <row r="1406" customFormat="1" x14ac:dyDescent="0.35"/>
    <row r="1407" customFormat="1" x14ac:dyDescent="0.35"/>
    <row r="1408" customFormat="1" x14ac:dyDescent="0.35"/>
    <row r="1409" customFormat="1" x14ac:dyDescent="0.35"/>
    <row r="1410" customFormat="1" x14ac:dyDescent="0.35"/>
    <row r="1411" customFormat="1" x14ac:dyDescent="0.35"/>
    <row r="1412" customFormat="1" x14ac:dyDescent="0.35"/>
    <row r="1413" customFormat="1" x14ac:dyDescent="0.35"/>
    <row r="1414" customFormat="1" x14ac:dyDescent="0.35"/>
    <row r="1415" customFormat="1" x14ac:dyDescent="0.35"/>
    <row r="1416" customFormat="1" x14ac:dyDescent="0.35"/>
    <row r="1417" customFormat="1" x14ac:dyDescent="0.35"/>
    <row r="1418" customFormat="1" x14ac:dyDescent="0.35"/>
    <row r="1419" customFormat="1" x14ac:dyDescent="0.35"/>
    <row r="1420" customFormat="1" x14ac:dyDescent="0.35"/>
    <row r="1421" customFormat="1" x14ac:dyDescent="0.35"/>
    <row r="1422" customFormat="1" x14ac:dyDescent="0.35"/>
    <row r="1423" customFormat="1" x14ac:dyDescent="0.35"/>
    <row r="1424" customFormat="1" x14ac:dyDescent="0.35"/>
    <row r="1425" customFormat="1" x14ac:dyDescent="0.35"/>
    <row r="1426" customFormat="1" x14ac:dyDescent="0.35"/>
    <row r="1427" customFormat="1" x14ac:dyDescent="0.35"/>
    <row r="1428" customFormat="1" x14ac:dyDescent="0.35"/>
  </sheetData>
  <mergeCells count="1">
    <mergeCell ref="E1:L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C3614-91B0-422A-BD61-197B4774543D}">
  <sheetPr codeName="Feuil1"/>
  <dimension ref="A1:AW1216"/>
  <sheetViews>
    <sheetView tabSelected="1" topLeftCell="A7" zoomScale="85" zoomScaleNormal="85" workbookViewId="0">
      <selection activeCell="A13" sqref="A13"/>
    </sheetView>
  </sheetViews>
  <sheetFormatPr baseColWidth="10" defaultRowHeight="14.5" x14ac:dyDescent="0.35"/>
  <cols>
    <col min="1" max="1" width="41.08984375" customWidth="1"/>
    <col min="2" max="2" width="6.08984375" style="12" customWidth="1"/>
    <col min="3" max="3" width="11.08984375" style="12" customWidth="1"/>
    <col min="4" max="4" width="19.6328125" style="12" customWidth="1"/>
    <col min="5" max="5" width="27.6328125" style="54" customWidth="1"/>
    <col min="6" max="6" width="24.81640625" style="54" customWidth="1"/>
    <col min="7" max="7" width="26.90625" style="54" customWidth="1"/>
    <col min="8" max="8" width="21.08984375" style="54" customWidth="1"/>
    <col min="9" max="9" width="14.1796875" style="54" customWidth="1"/>
    <col min="10" max="10" width="32.453125" style="54" customWidth="1"/>
    <col min="11" max="11" width="25.90625" style="54" customWidth="1"/>
    <col min="12" max="12" width="32.36328125" style="54" customWidth="1"/>
    <col min="13" max="13" width="26" style="54" customWidth="1"/>
    <col min="14" max="14" width="31.81640625" style="54" customWidth="1"/>
    <col min="15" max="15" width="22.26953125" style="54" customWidth="1"/>
    <col min="16" max="16" width="8.6328125" style="54" customWidth="1"/>
    <col min="17" max="17" width="19.08984375" style="54" customWidth="1"/>
    <col min="18" max="18" width="34.08984375" style="54" customWidth="1"/>
    <col min="19" max="19" width="13.7265625" style="54" customWidth="1"/>
    <col min="20" max="20" width="16.36328125" style="16" hidden="1" customWidth="1"/>
  </cols>
  <sheetData>
    <row r="1" spans="1:49" ht="20.5" customHeight="1" x14ac:dyDescent="0.35">
      <c r="A1" s="46"/>
      <c r="B1" s="1"/>
      <c r="C1" s="44" t="s">
        <v>21</v>
      </c>
      <c r="D1" s="45"/>
      <c r="E1" s="45"/>
      <c r="F1" s="45"/>
      <c r="G1" s="45"/>
      <c r="H1" s="57"/>
      <c r="I1" s="57"/>
      <c r="J1" s="58"/>
      <c r="K1" s="58"/>
      <c r="L1" s="58"/>
      <c r="M1" s="50"/>
      <c r="N1" s="50"/>
      <c r="O1" s="50"/>
      <c r="P1" s="59"/>
      <c r="Q1" s="59"/>
      <c r="R1" s="50"/>
      <c r="S1" s="50"/>
      <c r="T1" s="11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</row>
    <row r="2" spans="1:49" ht="19.5" customHeight="1" x14ac:dyDescent="0.35">
      <c r="A2" s="46"/>
      <c r="B2" s="1"/>
      <c r="C2" s="45"/>
      <c r="D2" s="45"/>
      <c r="E2" s="45"/>
      <c r="F2" s="45"/>
      <c r="G2" s="45"/>
      <c r="H2" s="57"/>
      <c r="I2" s="57"/>
      <c r="J2" s="58"/>
      <c r="K2" s="58"/>
      <c r="L2" s="58"/>
      <c r="M2" s="50"/>
      <c r="N2" s="50"/>
      <c r="O2" s="50"/>
      <c r="P2" s="59"/>
      <c r="Q2" s="59"/>
      <c r="R2" s="50"/>
      <c r="S2" s="50"/>
      <c r="T2" s="11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</row>
    <row r="3" spans="1:49" ht="57" customHeight="1" x14ac:dyDescent="0.35">
      <c r="A3" s="46"/>
      <c r="B3" s="1"/>
      <c r="C3" s="1"/>
      <c r="D3" s="1"/>
      <c r="E3" s="50"/>
      <c r="F3" s="50"/>
      <c r="G3" s="50"/>
      <c r="H3" s="58"/>
      <c r="I3" s="53"/>
      <c r="J3" s="53"/>
      <c r="K3" s="53"/>
      <c r="L3" s="53"/>
      <c r="M3" s="50"/>
      <c r="N3" s="50"/>
      <c r="O3" s="50"/>
      <c r="P3" s="64" t="s">
        <v>8</v>
      </c>
      <c r="Q3" s="64"/>
      <c r="R3" s="50"/>
      <c r="S3" s="50"/>
      <c r="T3" s="11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ht="60.5" customHeight="1" x14ac:dyDescent="0.35">
      <c r="A4" s="5"/>
      <c r="B4" s="47"/>
      <c r="C4" s="48"/>
      <c r="D4" s="48"/>
      <c r="E4" s="48"/>
      <c r="F4" s="48"/>
      <c r="G4" s="48"/>
      <c r="H4" s="48"/>
      <c r="I4" s="49"/>
      <c r="J4" s="66"/>
      <c r="K4" s="66"/>
      <c r="L4" s="53"/>
      <c r="M4" s="50"/>
      <c r="N4" s="50"/>
      <c r="O4" s="50"/>
      <c r="P4" s="60" t="s">
        <v>2</v>
      </c>
      <c r="Q4" s="62" t="s">
        <v>1</v>
      </c>
      <c r="R4" s="50"/>
      <c r="S4" s="50"/>
      <c r="T4" s="11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</row>
    <row r="5" spans="1:49" ht="43.5" x14ac:dyDescent="0.35">
      <c r="A5" s="5"/>
      <c r="B5" s="1"/>
      <c r="C5" s="1"/>
      <c r="D5" s="1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61" t="s">
        <v>34</v>
      </c>
      <c r="Q5" s="63"/>
      <c r="R5" s="65">
        <f>Q5+1</f>
        <v>1</v>
      </c>
      <c r="S5" s="65">
        <f>Q5+2</f>
        <v>2</v>
      </c>
      <c r="T5" s="18">
        <f>Q5+3</f>
        <v>3</v>
      </c>
      <c r="U5" s="9">
        <f>Q5+4</f>
        <v>4</v>
      </c>
      <c r="V5" s="9">
        <f>Q5+5</f>
        <v>5</v>
      </c>
      <c r="W5" s="8">
        <f>Q5+6</f>
        <v>6</v>
      </c>
      <c r="X5" s="9">
        <f>Q5+7</f>
        <v>7</v>
      </c>
      <c r="Y5" s="8">
        <f>Q5+8</f>
        <v>8</v>
      </c>
      <c r="Z5" s="9">
        <f>Q5+8</f>
        <v>8</v>
      </c>
      <c r="AA5" s="8">
        <f>Q5+9</f>
        <v>9</v>
      </c>
      <c r="AB5" s="9">
        <f>Q5+10</f>
        <v>10</v>
      </c>
      <c r="AC5" s="8">
        <f>Q5+11</f>
        <v>11</v>
      </c>
      <c r="AD5" s="9">
        <f>Q5+12</f>
        <v>12</v>
      </c>
      <c r="AE5" s="8">
        <f>Q5+13</f>
        <v>13</v>
      </c>
      <c r="AF5" s="9">
        <f>Q5+14</f>
        <v>14</v>
      </c>
      <c r="AG5" s="8">
        <f>Q5+15</f>
        <v>15</v>
      </c>
      <c r="AH5" s="9">
        <f>Q5+16</f>
        <v>16</v>
      </c>
      <c r="AI5" s="8">
        <f>Q5+17</f>
        <v>17</v>
      </c>
      <c r="AJ5" s="9">
        <f>Q5+18</f>
        <v>18</v>
      </c>
      <c r="AK5" s="8">
        <f>Q5+19</f>
        <v>19</v>
      </c>
      <c r="AL5" s="9">
        <f>Q5+20</f>
        <v>20</v>
      </c>
      <c r="AM5" s="9">
        <f>Q5+21</f>
        <v>21</v>
      </c>
      <c r="AN5" s="9">
        <f>Q5+22</f>
        <v>22</v>
      </c>
      <c r="AO5" s="9">
        <f>Q5+23</f>
        <v>23</v>
      </c>
      <c r="AP5" s="9">
        <f>Q5+24</f>
        <v>24</v>
      </c>
      <c r="AQ5" s="9">
        <f>R5+25</f>
        <v>26</v>
      </c>
      <c r="AR5" s="9">
        <f>R5+26</f>
        <v>27</v>
      </c>
      <c r="AS5" s="9">
        <f>R5+27</f>
        <v>28</v>
      </c>
      <c r="AT5" s="9">
        <f>R5+28</f>
        <v>29</v>
      </c>
      <c r="AU5" s="9">
        <f>R5+29</f>
        <v>30</v>
      </c>
      <c r="AV5" s="9">
        <f>R5+30</f>
        <v>31</v>
      </c>
      <c r="AW5" s="5"/>
    </row>
    <row r="6" spans="1:49" x14ac:dyDescent="0.35">
      <c r="A6" s="5"/>
      <c r="B6" s="1"/>
      <c r="C6" s="1"/>
      <c r="D6" s="1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11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</row>
    <row r="7" spans="1:49" x14ac:dyDescent="0.35">
      <c r="A7" s="5"/>
      <c r="B7" s="1"/>
      <c r="C7" s="1"/>
      <c r="D7" s="1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11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</row>
    <row r="8" spans="1:49" s="4" customFormat="1" ht="18" customHeight="1" x14ac:dyDescent="0.35">
      <c r="A8" s="7"/>
      <c r="B8" s="15" t="s">
        <v>7</v>
      </c>
      <c r="C8" s="15" t="s">
        <v>0</v>
      </c>
      <c r="D8" s="15" t="s">
        <v>20</v>
      </c>
      <c r="E8" s="51" t="s">
        <v>2</v>
      </c>
      <c r="F8" s="55" t="s">
        <v>24</v>
      </c>
      <c r="G8" s="55" t="s">
        <v>14</v>
      </c>
      <c r="H8" s="55" t="s">
        <v>25</v>
      </c>
      <c r="I8" s="55" t="s">
        <v>15</v>
      </c>
      <c r="J8" s="55" t="s">
        <v>26</v>
      </c>
      <c r="K8" s="55" t="s">
        <v>16</v>
      </c>
      <c r="L8" s="55" t="s">
        <v>27</v>
      </c>
      <c r="M8" s="55" t="s">
        <v>28</v>
      </c>
      <c r="N8" s="55" t="s">
        <v>29</v>
      </c>
      <c r="O8" s="55" t="s">
        <v>16</v>
      </c>
      <c r="P8" s="55" t="s">
        <v>30</v>
      </c>
      <c r="Q8" s="55" t="s">
        <v>31</v>
      </c>
      <c r="R8" s="55" t="s">
        <v>32</v>
      </c>
      <c r="S8" s="55" t="s">
        <v>33</v>
      </c>
      <c r="T8" s="40" t="s">
        <v>13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</row>
    <row r="9" spans="1:49" ht="60" customHeight="1" x14ac:dyDescent="0.35">
      <c r="A9" s="13"/>
      <c r="B9" s="10">
        <v>1</v>
      </c>
      <c r="C9" s="10" t="s">
        <v>3</v>
      </c>
      <c r="D9" s="10">
        <v>48</v>
      </c>
      <c r="E9" s="52" t="s">
        <v>34</v>
      </c>
      <c r="F9" s="56" t="s">
        <v>35</v>
      </c>
      <c r="G9" s="56"/>
      <c r="H9" s="56"/>
      <c r="I9" s="56"/>
      <c r="J9" s="56"/>
      <c r="K9" s="56"/>
      <c r="L9" s="56"/>
      <c r="M9" s="56"/>
      <c r="N9" s="56" t="s">
        <v>36</v>
      </c>
      <c r="O9" s="56"/>
      <c r="P9" s="56" t="s">
        <v>37</v>
      </c>
      <c r="Q9" s="56"/>
      <c r="R9" s="56"/>
      <c r="S9" s="56" t="s">
        <v>38</v>
      </c>
      <c r="T9" s="17" t="s">
        <v>132</v>
      </c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</row>
    <row r="10" spans="1:49" ht="60" customHeight="1" x14ac:dyDescent="0.35">
      <c r="A10" s="13"/>
      <c r="B10" s="10">
        <v>8</v>
      </c>
      <c r="C10" s="10" t="s">
        <v>46</v>
      </c>
      <c r="D10" s="10">
        <v>48</v>
      </c>
      <c r="E10" s="52" t="s">
        <v>34</v>
      </c>
      <c r="F10" s="52" t="s">
        <v>47</v>
      </c>
      <c r="G10" s="52" t="s">
        <v>48</v>
      </c>
      <c r="H10" s="52" t="s">
        <v>48</v>
      </c>
      <c r="I10" s="52" t="s">
        <v>17</v>
      </c>
      <c r="J10" s="52" t="s">
        <v>142</v>
      </c>
      <c r="K10" s="52"/>
      <c r="L10" s="52" t="s">
        <v>141</v>
      </c>
      <c r="M10" s="52" t="s">
        <v>144</v>
      </c>
      <c r="N10" s="52" t="s">
        <v>143</v>
      </c>
      <c r="O10" s="52"/>
      <c r="P10" s="52" t="s">
        <v>17</v>
      </c>
      <c r="Q10" s="52" t="s">
        <v>49</v>
      </c>
      <c r="R10" s="52"/>
      <c r="S10" s="52" t="s">
        <v>50</v>
      </c>
      <c r="T10" s="17" t="s">
        <v>139</v>
      </c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</row>
    <row r="11" spans="1:49" ht="60" customHeight="1" x14ac:dyDescent="0.35">
      <c r="A11" s="13"/>
      <c r="B11" s="10">
        <v>2</v>
      </c>
      <c r="C11" s="10" t="s">
        <v>3</v>
      </c>
      <c r="D11" s="10">
        <v>54</v>
      </c>
      <c r="E11" s="52" t="s">
        <v>34</v>
      </c>
      <c r="F11" s="52" t="s">
        <v>35</v>
      </c>
      <c r="G11" s="52"/>
      <c r="H11" s="52"/>
      <c r="I11" s="52"/>
      <c r="J11" s="52"/>
      <c r="K11" s="52"/>
      <c r="L11" s="52"/>
      <c r="M11" s="52"/>
      <c r="N11" s="52" t="s">
        <v>36</v>
      </c>
      <c r="O11" s="52"/>
      <c r="P11" s="52" t="s">
        <v>37</v>
      </c>
      <c r="Q11" s="52"/>
      <c r="R11" s="52"/>
      <c r="S11" s="52" t="s">
        <v>39</v>
      </c>
      <c r="T11" s="17" t="s">
        <v>132</v>
      </c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</row>
    <row r="12" spans="1:49" ht="60" customHeight="1" x14ac:dyDescent="0.35">
      <c r="A12" s="14"/>
      <c r="B12" s="11">
        <v>9</v>
      </c>
      <c r="C12" s="11" t="s">
        <v>46</v>
      </c>
      <c r="D12" s="11">
        <v>54</v>
      </c>
      <c r="E12" s="53" t="s">
        <v>34</v>
      </c>
      <c r="F12" s="53" t="s">
        <v>47</v>
      </c>
      <c r="G12" s="53" t="s">
        <v>48</v>
      </c>
      <c r="H12" s="53" t="s">
        <v>48</v>
      </c>
      <c r="I12" s="53" t="s">
        <v>17</v>
      </c>
      <c r="J12" s="53" t="s">
        <v>142</v>
      </c>
      <c r="K12" s="53"/>
      <c r="L12" s="53" t="s">
        <v>141</v>
      </c>
      <c r="M12" s="53" t="s">
        <v>144</v>
      </c>
      <c r="N12" s="53" t="s">
        <v>143</v>
      </c>
      <c r="O12" s="53"/>
      <c r="P12" s="53" t="s">
        <v>17</v>
      </c>
      <c r="Q12" s="53" t="s">
        <v>49</v>
      </c>
      <c r="R12" s="53"/>
      <c r="S12" s="53" t="s">
        <v>51</v>
      </c>
      <c r="T12" s="17" t="s">
        <v>140</v>
      </c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</row>
    <row r="13" spans="1:49" ht="60" customHeight="1" x14ac:dyDescent="0.35">
      <c r="A13" s="13"/>
      <c r="B13" s="10"/>
      <c r="C13" s="10"/>
      <c r="D13" s="10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17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</row>
    <row r="14" spans="1:49" ht="60" customHeight="1" x14ac:dyDescent="0.35">
      <c r="A14" s="14"/>
      <c r="B14" s="11"/>
      <c r="C14" s="11"/>
      <c r="D14" s="11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17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</row>
    <row r="15" spans="1:49" ht="60" customHeight="1" x14ac:dyDescent="0.35">
      <c r="A15" s="13"/>
      <c r="B15" s="10"/>
      <c r="C15" s="10"/>
      <c r="D15" s="10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17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</row>
    <row r="16" spans="1:49" ht="60" customHeight="1" x14ac:dyDescent="0.35">
      <c r="A16" s="14"/>
      <c r="B16" s="11"/>
      <c r="C16" s="11"/>
      <c r="D16" s="11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17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</row>
    <row r="17" spans="1:49" ht="60" customHeight="1" x14ac:dyDescent="0.35">
      <c r="A17" s="13"/>
      <c r="B17" s="10"/>
      <c r="C17" s="10"/>
      <c r="D17" s="10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17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</row>
    <row r="18" spans="1:49" ht="60" customHeight="1" x14ac:dyDescent="0.35">
      <c r="A18" s="14"/>
      <c r="B18" s="11"/>
      <c r="C18" s="11"/>
      <c r="D18" s="11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17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</row>
    <row r="19" spans="1:49" ht="60" customHeight="1" x14ac:dyDescent="0.35">
      <c r="A19" s="13"/>
      <c r="B19" s="10"/>
      <c r="C19" s="10"/>
      <c r="D19" s="10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17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</row>
    <row r="20" spans="1:49" ht="60" customHeight="1" x14ac:dyDescent="0.35">
      <c r="A20" s="14"/>
      <c r="B20" s="11"/>
      <c r="C20" s="11"/>
      <c r="D20" s="11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17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</row>
    <row r="21" spans="1:49" ht="60" customHeight="1" x14ac:dyDescent="0.35">
      <c r="A21" s="13"/>
      <c r="B21" s="10"/>
      <c r="C21" s="10"/>
      <c r="D21" s="10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17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</row>
    <row r="22" spans="1:49" ht="60" customHeight="1" x14ac:dyDescent="0.35">
      <c r="A22" s="14"/>
      <c r="B22" s="11"/>
      <c r="C22" s="11"/>
      <c r="D22" s="11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17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</row>
    <row r="23" spans="1:49" ht="60" customHeight="1" x14ac:dyDescent="0.35">
      <c r="A23" s="13"/>
      <c r="B23" s="10"/>
      <c r="C23" s="10"/>
      <c r="D23" s="10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17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</row>
    <row r="24" spans="1:49" ht="60" customHeight="1" x14ac:dyDescent="0.35">
      <c r="A24" s="14"/>
      <c r="B24" s="11"/>
      <c r="C24" s="11"/>
      <c r="D24" s="11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17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</row>
    <row r="25" spans="1:49" ht="60" customHeight="1" x14ac:dyDescent="0.35">
      <c r="A25" s="13"/>
      <c r="B25" s="10"/>
      <c r="C25" s="10"/>
      <c r="D25" s="10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17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</row>
    <row r="26" spans="1:49" ht="60" customHeight="1" x14ac:dyDescent="0.35">
      <c r="A26" s="14"/>
      <c r="B26" s="11"/>
      <c r="C26" s="11"/>
      <c r="D26" s="11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17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</row>
    <row r="27" spans="1:49" ht="60" customHeight="1" x14ac:dyDescent="0.35">
      <c r="A27" s="13"/>
      <c r="B27" s="10"/>
      <c r="C27" s="10"/>
      <c r="D27" s="10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17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</row>
    <row r="28" spans="1:49" ht="60" customHeight="1" x14ac:dyDescent="0.35">
      <c r="A28" s="14"/>
      <c r="B28" s="11"/>
      <c r="C28" s="11"/>
      <c r="D28" s="11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17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</row>
    <row r="29" spans="1:49" ht="60" customHeight="1" x14ac:dyDescent="0.35">
      <c r="A29" s="13"/>
      <c r="B29" s="10"/>
      <c r="C29" s="10"/>
      <c r="D29" s="10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17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</row>
    <row r="30" spans="1:49" ht="60" customHeight="1" x14ac:dyDescent="0.35">
      <c r="A30" s="14"/>
      <c r="B30" s="11"/>
      <c r="C30" s="11"/>
      <c r="D30" s="11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17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</row>
    <row r="31" spans="1:49" ht="60" customHeight="1" x14ac:dyDescent="0.35">
      <c r="A31" s="13"/>
      <c r="B31" s="10"/>
      <c r="C31" s="10"/>
      <c r="D31" s="10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17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</row>
    <row r="32" spans="1:49" ht="60" customHeight="1" x14ac:dyDescent="0.35">
      <c r="A32" s="14"/>
      <c r="B32" s="11"/>
      <c r="C32" s="11"/>
      <c r="D32" s="11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17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</row>
    <row r="33" spans="1:49" ht="60" customHeight="1" x14ac:dyDescent="0.35">
      <c r="A33" s="13"/>
      <c r="B33" s="10"/>
      <c r="C33" s="10"/>
      <c r="D33" s="10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17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</row>
    <row r="34" spans="1:49" ht="60" customHeight="1" x14ac:dyDescent="0.35">
      <c r="A34" s="14"/>
      <c r="B34" s="11"/>
      <c r="C34" s="11"/>
      <c r="D34" s="11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17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</row>
    <row r="35" spans="1:49" ht="60" customHeight="1" x14ac:dyDescent="0.35">
      <c r="A35" s="13"/>
      <c r="B35" s="10"/>
      <c r="C35" s="10"/>
      <c r="D35" s="10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17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</row>
    <row r="36" spans="1:49" ht="60" customHeight="1" x14ac:dyDescent="0.35">
      <c r="A36" s="14"/>
      <c r="B36" s="11"/>
      <c r="C36" s="11"/>
      <c r="D36" s="11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17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</row>
    <row r="37" spans="1:49" ht="60" customHeight="1" x14ac:dyDescent="0.35">
      <c r="A37" s="13"/>
      <c r="B37" s="10"/>
      <c r="C37" s="10"/>
      <c r="D37" s="10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17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</row>
    <row r="38" spans="1:49" ht="60" customHeight="1" x14ac:dyDescent="0.35">
      <c r="A38" s="14"/>
      <c r="B38" s="11"/>
      <c r="C38" s="11"/>
      <c r="D38" s="11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17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</row>
    <row r="39" spans="1:49" ht="60" customHeight="1" x14ac:dyDescent="0.35">
      <c r="A39" s="13"/>
      <c r="B39" s="10"/>
      <c r="C39" s="10"/>
      <c r="D39" s="10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17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</row>
    <row r="40" spans="1:49" ht="60" customHeight="1" x14ac:dyDescent="0.35">
      <c r="A40" s="14"/>
      <c r="B40" s="11"/>
      <c r="C40" s="11"/>
      <c r="D40" s="11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17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</row>
    <row r="41" spans="1:49" ht="60" customHeight="1" x14ac:dyDescent="0.35">
      <c r="A41" s="13"/>
      <c r="B41" s="10"/>
      <c r="C41" s="10"/>
      <c r="D41" s="10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17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</row>
    <row r="42" spans="1:49" ht="60" customHeight="1" x14ac:dyDescent="0.35">
      <c r="A42" s="14"/>
      <c r="B42" s="11"/>
      <c r="C42" s="11"/>
      <c r="D42" s="11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53"/>
      <c r="S42" s="53"/>
      <c r="T42" s="17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</row>
    <row r="43" spans="1:49" ht="60" customHeight="1" x14ac:dyDescent="0.35">
      <c r="A43" s="13"/>
      <c r="B43" s="10"/>
      <c r="C43" s="10"/>
      <c r="D43" s="10"/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17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</row>
    <row r="44" spans="1:49" ht="60" customHeight="1" x14ac:dyDescent="0.35">
      <c r="A44" s="14"/>
      <c r="B44" s="11"/>
      <c r="C44" s="11"/>
      <c r="D44" s="11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17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</row>
    <row r="45" spans="1:49" ht="60" customHeight="1" x14ac:dyDescent="0.35">
      <c r="A45" s="13"/>
      <c r="B45" s="10"/>
      <c r="C45" s="10"/>
      <c r="D45" s="10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17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</row>
    <row r="46" spans="1:49" ht="60" customHeight="1" x14ac:dyDescent="0.35">
      <c r="A46" s="14"/>
      <c r="B46" s="11"/>
      <c r="C46" s="11"/>
      <c r="D46" s="11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17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</row>
    <row r="47" spans="1:49" ht="60" customHeight="1" x14ac:dyDescent="0.35">
      <c r="A47" s="13"/>
      <c r="B47" s="10"/>
      <c r="C47" s="10"/>
      <c r="D47" s="10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17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</row>
    <row r="48" spans="1:49" ht="60" customHeight="1" x14ac:dyDescent="0.35">
      <c r="A48" s="14"/>
      <c r="B48" s="11"/>
      <c r="C48" s="11"/>
      <c r="D48" s="11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17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</row>
    <row r="49" spans="1:49" ht="60" customHeight="1" x14ac:dyDescent="0.35">
      <c r="A49" s="13"/>
      <c r="B49" s="10"/>
      <c r="C49" s="10"/>
      <c r="D49" s="10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17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</row>
    <row r="50" spans="1:49" ht="60" customHeight="1" x14ac:dyDescent="0.35">
      <c r="A50" s="14"/>
      <c r="B50" s="11"/>
      <c r="C50" s="11"/>
      <c r="D50" s="11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17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</row>
    <row r="51" spans="1:49" ht="60" customHeight="1" x14ac:dyDescent="0.35">
      <c r="A51" s="13"/>
      <c r="B51" s="10"/>
      <c r="C51" s="10"/>
      <c r="D51" s="10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17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</row>
    <row r="52" spans="1:49" ht="60" customHeight="1" x14ac:dyDescent="0.35">
      <c r="A52" s="14"/>
      <c r="B52" s="11"/>
      <c r="C52" s="11"/>
      <c r="D52" s="11"/>
      <c r="E52" s="53"/>
      <c r="F52" s="53"/>
      <c r="G52" s="53"/>
      <c r="H52" s="53"/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3"/>
      <c r="T52" s="17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</row>
    <row r="53" spans="1:49" ht="60" customHeight="1" x14ac:dyDescent="0.35">
      <c r="A53" s="13"/>
      <c r="B53" s="10"/>
      <c r="C53" s="10"/>
      <c r="D53" s="10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17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</row>
    <row r="54" spans="1:49" ht="60" customHeight="1" x14ac:dyDescent="0.35">
      <c r="A54" s="14"/>
      <c r="B54" s="11"/>
      <c r="C54" s="11"/>
      <c r="D54" s="11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17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</row>
    <row r="55" spans="1:49" ht="60" customHeight="1" x14ac:dyDescent="0.35">
      <c r="A55" s="13"/>
      <c r="B55" s="10"/>
      <c r="C55" s="10"/>
      <c r="D55" s="10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17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</row>
    <row r="56" spans="1:49" ht="60" customHeight="1" x14ac:dyDescent="0.35">
      <c r="A56" s="14"/>
      <c r="B56" s="11"/>
      <c r="C56" s="11"/>
      <c r="D56" s="11"/>
      <c r="E56" s="53"/>
      <c r="F56" s="53"/>
      <c r="G56" s="53"/>
      <c r="H56" s="53"/>
      <c r="I56" s="53"/>
      <c r="J56" s="53"/>
      <c r="K56" s="53"/>
      <c r="L56" s="53"/>
      <c r="M56" s="53"/>
      <c r="N56" s="53"/>
      <c r="O56" s="53"/>
      <c r="P56" s="53"/>
      <c r="Q56" s="53"/>
      <c r="R56" s="53"/>
      <c r="S56" s="53"/>
      <c r="T56" s="17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</row>
    <row r="57" spans="1:49" ht="60" customHeight="1" x14ac:dyDescent="0.35">
      <c r="A57" s="13"/>
      <c r="B57" s="10"/>
      <c r="C57" s="10"/>
      <c r="D57" s="1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17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</row>
    <row r="58" spans="1:49" ht="60" customHeight="1" x14ac:dyDescent="0.35">
      <c r="A58" s="14"/>
      <c r="B58" s="11"/>
      <c r="C58" s="11"/>
      <c r="D58" s="11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T58" s="17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</row>
    <row r="59" spans="1:49" ht="60" customHeight="1" x14ac:dyDescent="0.35">
      <c r="A59" s="13"/>
      <c r="B59" s="10"/>
      <c r="C59" s="10"/>
      <c r="D59" s="10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17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</row>
    <row r="60" spans="1:49" ht="60" customHeight="1" x14ac:dyDescent="0.35">
      <c r="A60" s="14"/>
      <c r="B60" s="11"/>
      <c r="C60" s="11"/>
      <c r="D60" s="11"/>
      <c r="E60" s="53"/>
      <c r="F60" s="53"/>
      <c r="G60" s="53"/>
      <c r="H60" s="53"/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T60" s="17"/>
      <c r="U60" s="5" t="s">
        <v>12</v>
      </c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</row>
    <row r="61" spans="1:49" ht="60" customHeight="1" x14ac:dyDescent="0.35">
      <c r="A61" s="13"/>
      <c r="B61" s="10"/>
      <c r="C61" s="10"/>
      <c r="D61" s="1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17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</row>
    <row r="62" spans="1:49" ht="60" customHeight="1" x14ac:dyDescent="0.35">
      <c r="A62" s="14"/>
      <c r="B62" s="11"/>
      <c r="C62" s="11"/>
      <c r="D62" s="11"/>
      <c r="E62" s="53"/>
      <c r="F62" s="53"/>
      <c r="G62" s="53"/>
      <c r="H62" s="53"/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3"/>
      <c r="T62" s="17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</row>
    <row r="63" spans="1:49" ht="60" customHeight="1" x14ac:dyDescent="0.35">
      <c r="A63" s="13"/>
      <c r="B63" s="10"/>
      <c r="C63" s="10"/>
      <c r="D63" s="10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17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</row>
    <row r="64" spans="1:49" ht="60" customHeight="1" x14ac:dyDescent="0.35">
      <c r="A64" s="14"/>
      <c r="B64" s="11"/>
      <c r="C64" s="11"/>
      <c r="D64" s="11"/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3"/>
      <c r="P64" s="53"/>
      <c r="Q64" s="53"/>
      <c r="R64" s="53"/>
      <c r="S64" s="53"/>
      <c r="T64" s="17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</row>
    <row r="65" spans="1:49" ht="60" customHeight="1" x14ac:dyDescent="0.35">
      <c r="A65" s="13"/>
      <c r="B65" s="10"/>
      <c r="C65" s="10"/>
      <c r="D65" s="10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17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</row>
    <row r="66" spans="1:49" ht="60" customHeight="1" x14ac:dyDescent="0.35">
      <c r="A66" s="14"/>
      <c r="B66" s="11"/>
      <c r="C66" s="11"/>
      <c r="D66" s="11"/>
      <c r="E66" s="53"/>
      <c r="F66" s="53"/>
      <c r="G66" s="53"/>
      <c r="H66" s="53"/>
      <c r="I66" s="53"/>
      <c r="J66" s="53"/>
      <c r="K66" s="53"/>
      <c r="L66" s="53"/>
      <c r="M66" s="53"/>
      <c r="N66" s="53"/>
      <c r="O66" s="53"/>
      <c r="P66" s="53"/>
      <c r="Q66" s="53"/>
      <c r="R66" s="53"/>
      <c r="S66" s="53"/>
      <c r="T66" s="17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</row>
    <row r="67" spans="1:49" ht="60" customHeight="1" x14ac:dyDescent="0.35">
      <c r="A67" s="13"/>
      <c r="B67" s="10"/>
      <c r="C67" s="10"/>
      <c r="D67" s="10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17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</row>
    <row r="68" spans="1:49" ht="60" customHeight="1" x14ac:dyDescent="0.35">
      <c r="A68" s="14"/>
      <c r="B68" s="11"/>
      <c r="C68" s="11"/>
      <c r="D68" s="11"/>
      <c r="E68" s="53"/>
      <c r="F68" s="53"/>
      <c r="G68" s="53"/>
      <c r="H68" s="53"/>
      <c r="I68" s="53"/>
      <c r="J68" s="53"/>
      <c r="K68" s="53"/>
      <c r="L68" s="53"/>
      <c r="M68" s="53"/>
      <c r="N68" s="53"/>
      <c r="O68" s="53"/>
      <c r="P68" s="53"/>
      <c r="Q68" s="53"/>
      <c r="R68" s="53"/>
      <c r="S68" s="53"/>
      <c r="T68" s="17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</row>
    <row r="69" spans="1:49" ht="60" customHeight="1" x14ac:dyDescent="0.35">
      <c r="A69" s="13"/>
      <c r="B69" s="10"/>
      <c r="C69" s="10"/>
      <c r="D69" s="10"/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17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</row>
    <row r="70" spans="1:49" ht="60" customHeight="1" x14ac:dyDescent="0.35">
      <c r="A70" s="14"/>
      <c r="B70" s="11"/>
      <c r="C70" s="11"/>
      <c r="D70" s="11"/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3"/>
      <c r="P70" s="53"/>
      <c r="Q70" s="53"/>
      <c r="R70" s="53"/>
      <c r="S70" s="53"/>
      <c r="T70" s="17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</row>
    <row r="71" spans="1:49" ht="60" customHeight="1" x14ac:dyDescent="0.35">
      <c r="A71" s="13"/>
      <c r="B71" s="10"/>
      <c r="C71" s="10"/>
      <c r="D71" s="10"/>
      <c r="E71" s="52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17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</row>
    <row r="72" spans="1:49" ht="60" customHeight="1" x14ac:dyDescent="0.35">
      <c r="A72" s="14"/>
      <c r="B72" s="11"/>
      <c r="C72" s="11"/>
      <c r="D72" s="11"/>
      <c r="E72" s="53"/>
      <c r="F72" s="53"/>
      <c r="G72" s="53"/>
      <c r="H72" s="53"/>
      <c r="I72" s="53"/>
      <c r="J72" s="53"/>
      <c r="K72" s="53"/>
      <c r="L72" s="53"/>
      <c r="M72" s="53"/>
      <c r="N72" s="53"/>
      <c r="O72" s="53"/>
      <c r="P72" s="53"/>
      <c r="Q72" s="53"/>
      <c r="R72" s="53"/>
      <c r="S72" s="53"/>
      <c r="T72" s="17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</row>
    <row r="73" spans="1:49" ht="60" customHeight="1" x14ac:dyDescent="0.35">
      <c r="A73" s="13"/>
      <c r="B73" s="10"/>
      <c r="C73" s="10"/>
      <c r="D73" s="10"/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17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</row>
    <row r="74" spans="1:49" ht="60" customHeight="1" x14ac:dyDescent="0.35">
      <c r="A74" s="14"/>
      <c r="B74" s="11"/>
      <c r="C74" s="11"/>
      <c r="D74" s="11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  <c r="Q74" s="53"/>
      <c r="R74" s="53"/>
      <c r="S74" s="53"/>
      <c r="T74" s="17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</row>
    <row r="75" spans="1:49" ht="60" customHeight="1" x14ac:dyDescent="0.35">
      <c r="A75" s="13"/>
      <c r="B75" s="10"/>
      <c r="C75" s="10"/>
      <c r="D75" s="10"/>
      <c r="E75" s="52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17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</row>
    <row r="76" spans="1:49" ht="60" customHeight="1" x14ac:dyDescent="0.35">
      <c r="A76" s="14"/>
      <c r="B76" s="11"/>
      <c r="C76" s="11"/>
      <c r="D76" s="11"/>
      <c r="E76" s="53"/>
      <c r="F76" s="53"/>
      <c r="G76" s="53"/>
      <c r="H76" s="53"/>
      <c r="I76" s="53"/>
      <c r="J76" s="53"/>
      <c r="K76" s="53"/>
      <c r="L76" s="53"/>
      <c r="M76" s="53"/>
      <c r="N76" s="53"/>
      <c r="O76" s="53"/>
      <c r="P76" s="53"/>
      <c r="Q76" s="53"/>
      <c r="R76" s="53"/>
      <c r="S76" s="53"/>
      <c r="T76" s="17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</row>
    <row r="77" spans="1:49" ht="60" customHeight="1" x14ac:dyDescent="0.35">
      <c r="A77" s="13"/>
      <c r="B77" s="10"/>
      <c r="C77" s="10"/>
      <c r="D77" s="10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17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</row>
    <row r="78" spans="1:49" ht="60" customHeight="1" x14ac:dyDescent="0.35">
      <c r="A78" s="14"/>
      <c r="B78" s="11"/>
      <c r="C78" s="11"/>
      <c r="D78" s="11"/>
      <c r="E78" s="53"/>
      <c r="F78" s="53"/>
      <c r="G78" s="53"/>
      <c r="H78" s="53"/>
      <c r="I78" s="53"/>
      <c r="J78" s="53"/>
      <c r="K78" s="53"/>
      <c r="L78" s="53"/>
      <c r="M78" s="53"/>
      <c r="N78" s="53"/>
      <c r="O78" s="53"/>
      <c r="P78" s="53"/>
      <c r="Q78" s="53"/>
      <c r="R78" s="53"/>
      <c r="S78" s="53"/>
      <c r="T78" s="17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</row>
    <row r="79" spans="1:49" ht="60" customHeight="1" x14ac:dyDescent="0.35">
      <c r="A79" s="13"/>
      <c r="B79" s="10"/>
      <c r="C79" s="10"/>
      <c r="D79" s="10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17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</row>
    <row r="80" spans="1:49" ht="60" customHeight="1" x14ac:dyDescent="0.35">
      <c r="A80" s="14"/>
      <c r="B80" s="11"/>
      <c r="C80" s="11"/>
      <c r="D80" s="11"/>
      <c r="E80" s="53"/>
      <c r="F80" s="53"/>
      <c r="G80" s="53"/>
      <c r="H80" s="53"/>
      <c r="I80" s="53"/>
      <c r="J80" s="53"/>
      <c r="K80" s="53"/>
      <c r="L80" s="53"/>
      <c r="M80" s="53"/>
      <c r="N80" s="53"/>
      <c r="O80" s="53"/>
      <c r="P80" s="53"/>
      <c r="Q80" s="53"/>
      <c r="R80" s="53"/>
      <c r="S80" s="53"/>
      <c r="T80" s="17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</row>
    <row r="81" spans="1:49" ht="60" customHeight="1" x14ac:dyDescent="0.35">
      <c r="A81" s="13"/>
      <c r="B81" s="10"/>
      <c r="C81" s="10"/>
      <c r="D81" s="10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17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</row>
    <row r="82" spans="1:49" ht="60" customHeight="1" x14ac:dyDescent="0.35">
      <c r="A82" s="14"/>
      <c r="B82" s="11"/>
      <c r="C82" s="11"/>
      <c r="D82" s="11"/>
      <c r="E82" s="53"/>
      <c r="F82" s="53"/>
      <c r="G82" s="53"/>
      <c r="H82" s="53"/>
      <c r="I82" s="53"/>
      <c r="J82" s="53"/>
      <c r="K82" s="53"/>
      <c r="L82" s="53"/>
      <c r="M82" s="53"/>
      <c r="N82" s="53"/>
      <c r="O82" s="53"/>
      <c r="P82" s="53"/>
      <c r="Q82" s="53"/>
      <c r="R82" s="53"/>
      <c r="S82" s="53"/>
      <c r="T82" s="17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</row>
    <row r="83" spans="1:49" ht="60" customHeight="1" x14ac:dyDescent="0.35">
      <c r="A83" s="13"/>
      <c r="B83" s="10"/>
      <c r="C83" s="10"/>
      <c r="D83" s="10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17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</row>
    <row r="84" spans="1:49" ht="60" customHeight="1" x14ac:dyDescent="0.35">
      <c r="A84" s="14"/>
      <c r="B84" s="11"/>
      <c r="C84" s="11"/>
      <c r="D84" s="11"/>
      <c r="E84" s="53"/>
      <c r="F84" s="53"/>
      <c r="G84" s="53"/>
      <c r="H84" s="53"/>
      <c r="I84" s="53"/>
      <c r="J84" s="53"/>
      <c r="K84" s="53"/>
      <c r="L84" s="53"/>
      <c r="M84" s="53"/>
      <c r="N84" s="53"/>
      <c r="O84" s="53"/>
      <c r="P84" s="53"/>
      <c r="Q84" s="53"/>
      <c r="R84" s="53"/>
      <c r="S84" s="53"/>
      <c r="T84" s="17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</row>
    <row r="85" spans="1:49" ht="60" customHeight="1" x14ac:dyDescent="0.35">
      <c r="A85" s="13"/>
      <c r="B85" s="10"/>
      <c r="C85" s="10"/>
      <c r="D85" s="10"/>
      <c r="E85" s="52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17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</row>
    <row r="86" spans="1:49" ht="60" customHeight="1" x14ac:dyDescent="0.35">
      <c r="A86" s="14"/>
      <c r="B86" s="11"/>
      <c r="C86" s="11"/>
      <c r="D86" s="11"/>
      <c r="E86" s="53"/>
      <c r="F86" s="53"/>
      <c r="G86" s="53"/>
      <c r="H86" s="53"/>
      <c r="I86" s="53"/>
      <c r="J86" s="53"/>
      <c r="K86" s="53"/>
      <c r="L86" s="53"/>
      <c r="M86" s="53"/>
      <c r="N86" s="53"/>
      <c r="O86" s="53"/>
      <c r="P86" s="53"/>
      <c r="Q86" s="53"/>
      <c r="R86" s="53"/>
      <c r="S86" s="53"/>
      <c r="T86" s="17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</row>
    <row r="87" spans="1:49" ht="60" customHeight="1" x14ac:dyDescent="0.35">
      <c r="A87" s="13"/>
      <c r="B87" s="10"/>
      <c r="C87" s="10"/>
      <c r="D87" s="10"/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17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</row>
    <row r="88" spans="1:49" ht="60" customHeight="1" x14ac:dyDescent="0.35">
      <c r="A88" s="14"/>
      <c r="B88" s="11"/>
      <c r="C88" s="11"/>
      <c r="D88" s="11"/>
      <c r="E88" s="53"/>
      <c r="F88" s="53"/>
      <c r="G88" s="53"/>
      <c r="H88" s="53"/>
      <c r="I88" s="53"/>
      <c r="J88" s="53"/>
      <c r="K88" s="53"/>
      <c r="L88" s="53"/>
      <c r="M88" s="53"/>
      <c r="N88" s="53"/>
      <c r="O88" s="53"/>
      <c r="P88" s="53"/>
      <c r="Q88" s="53"/>
      <c r="R88" s="53"/>
      <c r="S88" s="53"/>
      <c r="T88" s="17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</row>
    <row r="89" spans="1:49" ht="60" customHeight="1" x14ac:dyDescent="0.35">
      <c r="A89" s="13"/>
      <c r="B89" s="10"/>
      <c r="C89" s="10"/>
      <c r="D89" s="10"/>
      <c r="E89" s="52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17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</row>
    <row r="90" spans="1:49" ht="60" customHeight="1" x14ac:dyDescent="0.35">
      <c r="A90" s="14"/>
      <c r="B90" s="11"/>
      <c r="C90" s="11"/>
      <c r="D90" s="11"/>
      <c r="E90" s="53"/>
      <c r="F90" s="53"/>
      <c r="G90" s="53"/>
      <c r="H90" s="53"/>
      <c r="I90" s="53"/>
      <c r="J90" s="53"/>
      <c r="K90" s="53"/>
      <c r="L90" s="53"/>
      <c r="M90" s="53"/>
      <c r="N90" s="53"/>
      <c r="O90" s="53"/>
      <c r="P90" s="53"/>
      <c r="Q90" s="53"/>
      <c r="R90" s="53"/>
      <c r="S90" s="53"/>
      <c r="T90" s="17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</row>
    <row r="91" spans="1:49" ht="60" customHeight="1" x14ac:dyDescent="0.35">
      <c r="A91" s="13"/>
      <c r="B91" s="10"/>
      <c r="C91" s="10"/>
      <c r="D91" s="10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17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</row>
    <row r="92" spans="1:49" ht="60" customHeight="1" x14ac:dyDescent="0.35">
      <c r="A92" s="14"/>
      <c r="B92" s="11"/>
      <c r="C92" s="11"/>
      <c r="D92" s="11"/>
      <c r="E92" s="53"/>
      <c r="F92" s="53"/>
      <c r="G92" s="53"/>
      <c r="H92" s="53"/>
      <c r="I92" s="53"/>
      <c r="J92" s="53"/>
      <c r="K92" s="53"/>
      <c r="L92" s="53"/>
      <c r="M92" s="53"/>
      <c r="N92" s="53"/>
      <c r="O92" s="53"/>
      <c r="P92" s="53"/>
      <c r="Q92" s="53"/>
      <c r="R92" s="53"/>
      <c r="S92" s="53"/>
      <c r="T92" s="17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</row>
    <row r="93" spans="1:49" ht="60" customHeight="1" x14ac:dyDescent="0.35">
      <c r="A93" s="13"/>
      <c r="B93" s="10"/>
      <c r="C93" s="10"/>
      <c r="D93" s="10"/>
      <c r="E93" s="52"/>
      <c r="F93" s="52"/>
      <c r="G93" s="52"/>
      <c r="H93" s="52"/>
      <c r="I93" s="52"/>
      <c r="J93" s="52"/>
      <c r="K93" s="52"/>
      <c r="L93" s="52"/>
      <c r="M93" s="52"/>
      <c r="N93" s="52"/>
      <c r="O93" s="52"/>
      <c r="P93" s="52"/>
      <c r="Q93" s="52"/>
      <c r="R93" s="52"/>
      <c r="S93" s="52"/>
      <c r="T93" s="17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</row>
    <row r="94" spans="1:49" ht="60" customHeight="1" x14ac:dyDescent="0.35">
      <c r="A94" s="14"/>
      <c r="B94" s="11"/>
      <c r="C94" s="11"/>
      <c r="D94" s="11"/>
      <c r="E94" s="53"/>
      <c r="F94" s="53"/>
      <c r="G94" s="53"/>
      <c r="H94" s="53"/>
      <c r="I94" s="53"/>
      <c r="J94" s="53"/>
      <c r="K94" s="53"/>
      <c r="L94" s="53"/>
      <c r="M94" s="53"/>
      <c r="N94" s="53"/>
      <c r="O94" s="53"/>
      <c r="P94" s="53"/>
      <c r="Q94" s="53"/>
      <c r="R94" s="53"/>
      <c r="S94" s="53"/>
      <c r="T94" s="17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</row>
    <row r="95" spans="1:49" ht="60" customHeight="1" x14ac:dyDescent="0.35">
      <c r="A95" s="13"/>
      <c r="B95" s="10"/>
      <c r="C95" s="10"/>
      <c r="D95" s="10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17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</row>
    <row r="96" spans="1:49" ht="60" customHeight="1" x14ac:dyDescent="0.35">
      <c r="A96" s="14"/>
      <c r="B96" s="11"/>
      <c r="C96" s="11"/>
      <c r="D96" s="11"/>
      <c r="E96" s="53"/>
      <c r="F96" s="53"/>
      <c r="G96" s="53"/>
      <c r="H96" s="53"/>
      <c r="I96" s="53"/>
      <c r="J96" s="53"/>
      <c r="K96" s="53"/>
      <c r="L96" s="53"/>
      <c r="M96" s="53"/>
      <c r="N96" s="53"/>
      <c r="O96" s="53"/>
      <c r="P96" s="53"/>
      <c r="Q96" s="53"/>
      <c r="R96" s="53"/>
      <c r="S96" s="53"/>
      <c r="T96" s="17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</row>
    <row r="97" spans="1:49" ht="60" customHeight="1" x14ac:dyDescent="0.35">
      <c r="A97" s="13"/>
      <c r="B97" s="10"/>
      <c r="C97" s="10"/>
      <c r="D97" s="10"/>
      <c r="E97" s="52"/>
      <c r="F97" s="52"/>
      <c r="G97" s="52"/>
      <c r="H97" s="52"/>
      <c r="I97" s="52"/>
      <c r="J97" s="52"/>
      <c r="K97" s="52"/>
      <c r="L97" s="52"/>
      <c r="M97" s="52"/>
      <c r="N97" s="52"/>
      <c r="O97" s="52"/>
      <c r="P97" s="52"/>
      <c r="Q97" s="52"/>
      <c r="R97" s="52"/>
      <c r="S97" s="52"/>
      <c r="T97" s="17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</row>
    <row r="98" spans="1:49" ht="60" customHeight="1" x14ac:dyDescent="0.35">
      <c r="A98" s="14"/>
      <c r="B98" s="11"/>
      <c r="C98" s="11"/>
      <c r="D98" s="11"/>
      <c r="E98" s="53"/>
      <c r="F98" s="53"/>
      <c r="G98" s="53"/>
      <c r="H98" s="53"/>
      <c r="I98" s="53"/>
      <c r="J98" s="53"/>
      <c r="K98" s="53"/>
      <c r="L98" s="53"/>
      <c r="M98" s="53"/>
      <c r="N98" s="53"/>
      <c r="O98" s="53"/>
      <c r="P98" s="53"/>
      <c r="Q98" s="53"/>
      <c r="R98" s="53"/>
      <c r="S98" s="53"/>
      <c r="T98" s="17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</row>
    <row r="99" spans="1:49" ht="60" customHeight="1" x14ac:dyDescent="0.35">
      <c r="A99" s="13"/>
      <c r="B99" s="10"/>
      <c r="C99" s="10"/>
      <c r="D99" s="10"/>
      <c r="E99" s="52"/>
      <c r="F99" s="52"/>
      <c r="G99" s="52"/>
      <c r="H99" s="52"/>
      <c r="I99" s="52"/>
      <c r="J99" s="52"/>
      <c r="K99" s="52"/>
      <c r="L99" s="52"/>
      <c r="M99" s="52"/>
      <c r="N99" s="52"/>
      <c r="O99" s="52"/>
      <c r="P99" s="52"/>
      <c r="Q99" s="52"/>
      <c r="R99" s="52"/>
      <c r="S99" s="52"/>
      <c r="T99" s="17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</row>
    <row r="100" spans="1:49" ht="60" customHeight="1" x14ac:dyDescent="0.35">
      <c r="A100" s="14"/>
      <c r="B100" s="11"/>
      <c r="C100" s="11"/>
      <c r="D100" s="11"/>
      <c r="E100" s="53"/>
      <c r="F100" s="53"/>
      <c r="G100" s="53"/>
      <c r="H100" s="53"/>
      <c r="I100" s="53"/>
      <c r="J100" s="53"/>
      <c r="K100" s="53"/>
      <c r="L100" s="53"/>
      <c r="M100" s="53"/>
      <c r="N100" s="53"/>
      <c r="O100" s="53"/>
      <c r="P100" s="53"/>
      <c r="Q100" s="53"/>
      <c r="R100" s="53"/>
      <c r="S100" s="53"/>
      <c r="T100" s="17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</row>
    <row r="101" spans="1:49" ht="60" customHeight="1" x14ac:dyDescent="0.35">
      <c r="A101" s="13"/>
      <c r="B101" s="10"/>
      <c r="C101" s="10"/>
      <c r="D101" s="10"/>
      <c r="E101" s="52"/>
      <c r="F101" s="52"/>
      <c r="G101" s="52"/>
      <c r="H101" s="52"/>
      <c r="I101" s="52"/>
      <c r="J101" s="52"/>
      <c r="K101" s="52"/>
      <c r="L101" s="52"/>
      <c r="M101" s="52"/>
      <c r="N101" s="52"/>
      <c r="O101" s="52"/>
      <c r="P101" s="52"/>
      <c r="Q101" s="52"/>
      <c r="R101" s="52"/>
      <c r="S101" s="52"/>
      <c r="T101" s="17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</row>
    <row r="102" spans="1:49" ht="60" customHeight="1" x14ac:dyDescent="0.35">
      <c r="A102" s="14"/>
      <c r="B102" s="11"/>
      <c r="C102" s="11"/>
      <c r="D102" s="11"/>
      <c r="E102" s="53"/>
      <c r="F102" s="53"/>
      <c r="G102" s="53"/>
      <c r="H102" s="53"/>
      <c r="I102" s="53"/>
      <c r="J102" s="53"/>
      <c r="K102" s="53"/>
      <c r="L102" s="53"/>
      <c r="M102" s="53"/>
      <c r="N102" s="53"/>
      <c r="O102" s="53"/>
      <c r="P102" s="53"/>
      <c r="Q102" s="53"/>
      <c r="R102" s="53"/>
      <c r="S102" s="53"/>
      <c r="T102" s="17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</row>
    <row r="103" spans="1:49" ht="60" customHeight="1" x14ac:dyDescent="0.35">
      <c r="A103" s="13"/>
      <c r="B103" s="10"/>
      <c r="C103" s="10"/>
      <c r="D103" s="10"/>
      <c r="E103" s="52"/>
      <c r="F103" s="52"/>
      <c r="G103" s="52"/>
      <c r="H103" s="52"/>
      <c r="I103" s="52"/>
      <c r="J103" s="52"/>
      <c r="K103" s="52"/>
      <c r="L103" s="52"/>
      <c r="M103" s="52"/>
      <c r="N103" s="52"/>
      <c r="O103" s="52"/>
      <c r="P103" s="52"/>
      <c r="Q103" s="52"/>
      <c r="R103" s="52"/>
      <c r="S103" s="52"/>
      <c r="T103" s="17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</row>
    <row r="104" spans="1:49" ht="60" customHeight="1" x14ac:dyDescent="0.35">
      <c r="A104" s="14"/>
      <c r="B104" s="11"/>
      <c r="C104" s="11"/>
      <c r="D104" s="11"/>
      <c r="E104" s="53"/>
      <c r="F104" s="53"/>
      <c r="G104" s="53"/>
      <c r="H104" s="53"/>
      <c r="I104" s="53"/>
      <c r="J104" s="53"/>
      <c r="K104" s="53"/>
      <c r="L104" s="53"/>
      <c r="M104" s="53"/>
      <c r="N104" s="53"/>
      <c r="O104" s="53"/>
      <c r="P104" s="53"/>
      <c r="Q104" s="53"/>
      <c r="R104" s="53"/>
      <c r="S104" s="53"/>
      <c r="T104" s="17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</row>
    <row r="105" spans="1:49" ht="60" customHeight="1" x14ac:dyDescent="0.35">
      <c r="A105" s="13"/>
      <c r="B105" s="10"/>
      <c r="C105" s="10"/>
      <c r="D105" s="10"/>
      <c r="E105" s="52"/>
      <c r="F105" s="52"/>
      <c r="G105" s="52"/>
      <c r="H105" s="52"/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17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</row>
    <row r="106" spans="1:49" ht="60" customHeight="1" x14ac:dyDescent="0.35">
      <c r="A106" s="14"/>
      <c r="B106" s="11"/>
      <c r="C106" s="11"/>
      <c r="D106" s="11"/>
      <c r="E106" s="53"/>
      <c r="F106" s="53"/>
      <c r="G106" s="53"/>
      <c r="H106" s="53"/>
      <c r="I106" s="53"/>
      <c r="J106" s="53"/>
      <c r="K106" s="53"/>
      <c r="L106" s="53"/>
      <c r="M106" s="53"/>
      <c r="N106" s="53"/>
      <c r="O106" s="53"/>
      <c r="P106" s="53"/>
      <c r="Q106" s="53"/>
      <c r="R106" s="53"/>
      <c r="S106" s="53"/>
      <c r="T106" s="17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</row>
    <row r="107" spans="1:49" ht="60" customHeight="1" x14ac:dyDescent="0.35">
      <c r="A107" s="13"/>
      <c r="B107" s="10"/>
      <c r="C107" s="10"/>
      <c r="D107" s="10"/>
      <c r="E107" s="52"/>
      <c r="F107" s="52"/>
      <c r="G107" s="52"/>
      <c r="H107" s="52"/>
      <c r="I107" s="52"/>
      <c r="J107" s="52"/>
      <c r="K107" s="52"/>
      <c r="L107" s="52"/>
      <c r="M107" s="52"/>
      <c r="N107" s="52"/>
      <c r="O107" s="52"/>
      <c r="P107" s="52"/>
      <c r="Q107" s="52"/>
      <c r="R107" s="52"/>
      <c r="S107" s="52"/>
      <c r="T107" s="17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</row>
    <row r="108" spans="1:49" ht="60" customHeight="1" x14ac:dyDescent="0.35">
      <c r="A108" s="14"/>
      <c r="B108" s="11"/>
      <c r="C108" s="11"/>
      <c r="D108" s="11"/>
      <c r="E108" s="53"/>
      <c r="F108" s="53"/>
      <c r="G108" s="53"/>
      <c r="H108" s="53"/>
      <c r="I108" s="53"/>
      <c r="J108" s="53"/>
      <c r="K108" s="53"/>
      <c r="L108" s="53"/>
      <c r="M108" s="53"/>
      <c r="N108" s="53"/>
      <c r="O108" s="53"/>
      <c r="P108" s="53"/>
      <c r="Q108" s="53"/>
      <c r="R108" s="53"/>
      <c r="S108" s="53"/>
      <c r="T108" s="17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</row>
    <row r="109" spans="1:49" ht="60" customHeight="1" x14ac:dyDescent="0.35">
      <c r="A109" s="13"/>
      <c r="B109" s="10"/>
      <c r="C109" s="10"/>
      <c r="D109" s="10"/>
      <c r="E109" s="52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  <c r="R109" s="52"/>
      <c r="S109" s="52"/>
      <c r="T109" s="17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</row>
    <row r="110" spans="1:49" ht="60" customHeight="1" x14ac:dyDescent="0.35">
      <c r="A110" s="14"/>
      <c r="B110" s="11"/>
      <c r="C110" s="11"/>
      <c r="D110" s="11"/>
      <c r="E110" s="53"/>
      <c r="F110" s="53"/>
      <c r="G110" s="53"/>
      <c r="H110" s="53"/>
      <c r="I110" s="53"/>
      <c r="J110" s="53"/>
      <c r="K110" s="53"/>
      <c r="L110" s="53"/>
      <c r="M110" s="53"/>
      <c r="N110" s="53"/>
      <c r="O110" s="53"/>
      <c r="P110" s="53"/>
      <c r="Q110" s="53"/>
      <c r="R110" s="53"/>
      <c r="S110" s="53"/>
      <c r="T110" s="17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</row>
    <row r="111" spans="1:49" ht="60" customHeight="1" x14ac:dyDescent="0.35">
      <c r="A111" s="13"/>
      <c r="B111" s="10"/>
      <c r="C111" s="10"/>
      <c r="D111" s="10"/>
      <c r="E111" s="52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  <c r="S111" s="52"/>
      <c r="T111" s="17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</row>
    <row r="112" spans="1:49" ht="60" customHeight="1" x14ac:dyDescent="0.35">
      <c r="A112" s="14"/>
      <c r="B112" s="11"/>
      <c r="C112" s="11"/>
      <c r="D112" s="11"/>
      <c r="E112" s="53"/>
      <c r="F112" s="53"/>
      <c r="G112" s="53"/>
      <c r="H112" s="53"/>
      <c r="I112" s="53"/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17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</row>
    <row r="113" spans="1:49" ht="60" customHeight="1" x14ac:dyDescent="0.35">
      <c r="A113" s="13"/>
      <c r="B113" s="10"/>
      <c r="C113" s="10"/>
      <c r="D113" s="10"/>
      <c r="E113" s="52"/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  <c r="R113" s="52"/>
      <c r="S113" s="52"/>
      <c r="T113" s="17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</row>
    <row r="114" spans="1:49" ht="60" customHeight="1" x14ac:dyDescent="0.35">
      <c r="A114" s="14"/>
      <c r="B114" s="11"/>
      <c r="C114" s="11"/>
      <c r="D114" s="11"/>
      <c r="E114" s="53"/>
      <c r="F114" s="53"/>
      <c r="G114" s="53"/>
      <c r="H114" s="53"/>
      <c r="I114" s="53"/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17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</row>
    <row r="115" spans="1:49" ht="60" customHeight="1" x14ac:dyDescent="0.35">
      <c r="A115" s="13"/>
      <c r="B115" s="10"/>
      <c r="C115" s="10"/>
      <c r="D115" s="10"/>
      <c r="E115" s="52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  <c r="S115" s="52"/>
      <c r="T115" s="17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</row>
    <row r="116" spans="1:49" ht="60" customHeight="1" x14ac:dyDescent="0.35">
      <c r="A116" s="14"/>
      <c r="B116" s="11"/>
      <c r="C116" s="11"/>
      <c r="D116" s="11"/>
      <c r="E116" s="53"/>
      <c r="F116" s="53"/>
      <c r="G116" s="53"/>
      <c r="H116" s="53"/>
      <c r="I116" s="53"/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17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</row>
    <row r="117" spans="1:49" ht="60" customHeight="1" x14ac:dyDescent="0.35">
      <c r="A117" s="13"/>
      <c r="B117" s="10"/>
      <c r="C117" s="10"/>
      <c r="D117" s="10"/>
      <c r="E117" s="52"/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  <c r="R117" s="52"/>
      <c r="S117" s="52"/>
      <c r="T117" s="17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</row>
    <row r="118" spans="1:49" ht="60" customHeight="1" x14ac:dyDescent="0.35">
      <c r="A118" s="14"/>
      <c r="B118" s="11"/>
      <c r="C118" s="11"/>
      <c r="D118" s="11"/>
      <c r="E118" s="53"/>
      <c r="F118" s="53"/>
      <c r="G118" s="53"/>
      <c r="H118" s="53"/>
      <c r="I118" s="53"/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17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</row>
    <row r="119" spans="1:49" ht="60" customHeight="1" x14ac:dyDescent="0.35">
      <c r="A119" s="13"/>
      <c r="B119" s="10"/>
      <c r="C119" s="10"/>
      <c r="D119" s="10"/>
      <c r="E119" s="52"/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  <c r="R119" s="52"/>
      <c r="S119" s="52"/>
      <c r="T119" s="17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</row>
    <row r="120" spans="1:49" ht="60" customHeight="1" x14ac:dyDescent="0.35">
      <c r="A120" s="14"/>
      <c r="B120" s="11"/>
      <c r="C120" s="11"/>
      <c r="D120" s="11"/>
      <c r="E120" s="53"/>
      <c r="F120" s="53"/>
      <c r="G120" s="53"/>
      <c r="H120" s="53"/>
      <c r="I120" s="53"/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17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</row>
    <row r="121" spans="1:49" ht="60" customHeight="1" x14ac:dyDescent="0.35">
      <c r="A121" s="13"/>
      <c r="B121" s="10"/>
      <c r="C121" s="10"/>
      <c r="D121" s="10"/>
      <c r="E121" s="52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52"/>
      <c r="T121" s="17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</row>
    <row r="122" spans="1:49" ht="60" customHeight="1" x14ac:dyDescent="0.35">
      <c r="A122" s="14"/>
      <c r="B122" s="11"/>
      <c r="C122" s="11"/>
      <c r="D122" s="11"/>
      <c r="E122" s="53"/>
      <c r="F122" s="53"/>
      <c r="G122" s="53"/>
      <c r="H122" s="53"/>
      <c r="I122" s="53"/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17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</row>
    <row r="123" spans="1:49" ht="60" customHeight="1" x14ac:dyDescent="0.35">
      <c r="A123" s="13"/>
      <c r="B123" s="10"/>
      <c r="C123" s="10"/>
      <c r="D123" s="10"/>
      <c r="E123" s="52"/>
      <c r="F123" s="52"/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52"/>
      <c r="R123" s="52"/>
      <c r="S123" s="52"/>
      <c r="T123" s="17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</row>
    <row r="124" spans="1:49" ht="60" customHeight="1" x14ac:dyDescent="0.35">
      <c r="A124" s="14"/>
      <c r="B124" s="11"/>
      <c r="C124" s="11"/>
      <c r="D124" s="11"/>
      <c r="E124" s="53"/>
      <c r="F124" s="53"/>
      <c r="G124" s="53"/>
      <c r="H124" s="53"/>
      <c r="I124" s="53"/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17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</row>
    <row r="125" spans="1:49" ht="60" customHeight="1" x14ac:dyDescent="0.35">
      <c r="A125" s="13"/>
      <c r="B125" s="10"/>
      <c r="C125" s="10"/>
      <c r="D125" s="10"/>
      <c r="E125" s="52"/>
      <c r="F125" s="52"/>
      <c r="G125" s="52"/>
      <c r="H125" s="52"/>
      <c r="I125" s="52"/>
      <c r="J125" s="52"/>
      <c r="K125" s="52"/>
      <c r="L125" s="52"/>
      <c r="M125" s="52"/>
      <c r="N125" s="52"/>
      <c r="O125" s="52"/>
      <c r="P125" s="52"/>
      <c r="Q125" s="52"/>
      <c r="R125" s="52"/>
      <c r="S125" s="52"/>
      <c r="T125" s="17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</row>
    <row r="126" spans="1:49" ht="60" customHeight="1" x14ac:dyDescent="0.35">
      <c r="A126" s="14"/>
      <c r="B126" s="11"/>
      <c r="C126" s="11"/>
      <c r="D126" s="11"/>
      <c r="E126" s="53"/>
      <c r="F126" s="53"/>
      <c r="G126" s="53"/>
      <c r="H126" s="53"/>
      <c r="I126" s="53"/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17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</row>
    <row r="127" spans="1:49" ht="60" customHeight="1" x14ac:dyDescent="0.35">
      <c r="A127" s="13"/>
      <c r="B127" s="10"/>
      <c r="C127" s="10"/>
      <c r="D127" s="10"/>
      <c r="E127" s="52"/>
      <c r="F127" s="52"/>
      <c r="G127" s="52"/>
      <c r="H127" s="52"/>
      <c r="I127" s="52"/>
      <c r="J127" s="52"/>
      <c r="K127" s="52"/>
      <c r="L127" s="52"/>
      <c r="M127" s="52"/>
      <c r="N127" s="52"/>
      <c r="O127" s="52"/>
      <c r="P127" s="52"/>
      <c r="Q127" s="52"/>
      <c r="R127" s="52"/>
      <c r="S127" s="52"/>
      <c r="T127" s="17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</row>
    <row r="128" spans="1:49" ht="60" customHeight="1" x14ac:dyDescent="0.35">
      <c r="A128" s="14"/>
      <c r="B128" s="11"/>
      <c r="C128" s="11"/>
      <c r="D128" s="11"/>
      <c r="E128" s="53"/>
      <c r="F128" s="53"/>
      <c r="G128" s="53"/>
      <c r="H128" s="53"/>
      <c r="I128" s="53"/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17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</row>
    <row r="129" spans="1:49" ht="60" customHeight="1" x14ac:dyDescent="0.35">
      <c r="A129" s="13"/>
      <c r="B129" s="10"/>
      <c r="C129" s="10"/>
      <c r="D129" s="10"/>
      <c r="E129" s="52"/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2"/>
      <c r="S129" s="52"/>
      <c r="T129" s="17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</row>
    <row r="130" spans="1:49" ht="60" customHeight="1" x14ac:dyDescent="0.35">
      <c r="A130" s="14"/>
      <c r="B130" s="11"/>
      <c r="C130" s="11"/>
      <c r="D130" s="11"/>
      <c r="E130" s="53"/>
      <c r="F130" s="53"/>
      <c r="G130" s="53"/>
      <c r="H130" s="53"/>
      <c r="I130" s="53"/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17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</row>
    <row r="131" spans="1:49" ht="60" customHeight="1" x14ac:dyDescent="0.35">
      <c r="A131" s="13"/>
      <c r="B131" s="10"/>
      <c r="C131" s="10"/>
      <c r="D131" s="10"/>
      <c r="E131" s="52"/>
      <c r="F131" s="52"/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  <c r="R131" s="52"/>
      <c r="S131" s="52"/>
      <c r="T131" s="17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</row>
    <row r="132" spans="1:49" ht="60" customHeight="1" x14ac:dyDescent="0.35">
      <c r="A132" s="14"/>
      <c r="B132" s="11"/>
      <c r="C132" s="11"/>
      <c r="D132" s="11"/>
      <c r="E132" s="53"/>
      <c r="F132" s="53"/>
      <c r="G132" s="53"/>
      <c r="H132" s="53"/>
      <c r="I132" s="53"/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17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</row>
    <row r="133" spans="1:49" ht="60" customHeight="1" x14ac:dyDescent="0.35">
      <c r="A133" s="13"/>
      <c r="B133" s="10"/>
      <c r="C133" s="10"/>
      <c r="D133" s="10"/>
      <c r="E133" s="52"/>
      <c r="F133" s="52"/>
      <c r="G133" s="52"/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  <c r="S133" s="52"/>
      <c r="T133" s="17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</row>
    <row r="134" spans="1:49" ht="60" customHeight="1" x14ac:dyDescent="0.35">
      <c r="A134" s="14"/>
      <c r="B134" s="11"/>
      <c r="C134" s="11"/>
      <c r="D134" s="11"/>
      <c r="E134" s="53"/>
      <c r="F134" s="53"/>
      <c r="G134" s="53"/>
      <c r="H134" s="53"/>
      <c r="I134" s="53"/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17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</row>
    <row r="135" spans="1:49" ht="60" customHeight="1" x14ac:dyDescent="0.35">
      <c r="A135" s="13"/>
      <c r="B135" s="10"/>
      <c r="C135" s="10"/>
      <c r="D135" s="10"/>
      <c r="E135" s="52"/>
      <c r="F135" s="52"/>
      <c r="G135" s="52"/>
      <c r="H135" s="52"/>
      <c r="I135" s="52"/>
      <c r="J135" s="52"/>
      <c r="K135" s="52"/>
      <c r="L135" s="52"/>
      <c r="M135" s="52"/>
      <c r="N135" s="52"/>
      <c r="O135" s="52"/>
      <c r="P135" s="52"/>
      <c r="Q135" s="52"/>
      <c r="R135" s="52"/>
      <c r="S135" s="52"/>
      <c r="T135" s="17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</row>
    <row r="136" spans="1:49" ht="60" customHeight="1" x14ac:dyDescent="0.35">
      <c r="A136" s="14"/>
      <c r="B136" s="11"/>
      <c r="C136" s="11"/>
      <c r="D136" s="11"/>
      <c r="E136" s="53"/>
      <c r="F136" s="53"/>
      <c r="G136" s="53"/>
      <c r="H136" s="53"/>
      <c r="I136" s="53"/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17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</row>
    <row r="137" spans="1:49" ht="60" customHeight="1" x14ac:dyDescent="0.35">
      <c r="A137" s="13"/>
      <c r="B137" s="10"/>
      <c r="C137" s="10"/>
      <c r="D137" s="10"/>
      <c r="E137" s="52"/>
      <c r="F137" s="52"/>
      <c r="G137" s="52"/>
      <c r="H137" s="52"/>
      <c r="I137" s="52"/>
      <c r="J137" s="52"/>
      <c r="K137" s="52"/>
      <c r="L137" s="52"/>
      <c r="M137" s="52"/>
      <c r="N137" s="52"/>
      <c r="O137" s="52"/>
      <c r="P137" s="52"/>
      <c r="Q137" s="52"/>
      <c r="R137" s="52"/>
      <c r="S137" s="52"/>
      <c r="T137" s="17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</row>
    <row r="138" spans="1:49" ht="60" customHeight="1" x14ac:dyDescent="0.35">
      <c r="A138" s="14"/>
      <c r="B138" s="11"/>
      <c r="C138" s="11"/>
      <c r="D138" s="11"/>
      <c r="E138" s="53"/>
      <c r="F138" s="53"/>
      <c r="G138" s="53"/>
      <c r="H138" s="53"/>
      <c r="I138" s="53"/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17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</row>
    <row r="139" spans="1:49" ht="60" customHeight="1" x14ac:dyDescent="0.35">
      <c r="A139" s="13"/>
      <c r="B139" s="10"/>
      <c r="C139" s="10"/>
      <c r="D139" s="10"/>
      <c r="E139" s="52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R139" s="52"/>
      <c r="S139" s="52"/>
      <c r="T139" s="17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</row>
    <row r="140" spans="1:49" ht="60" customHeight="1" x14ac:dyDescent="0.35">
      <c r="A140" s="14"/>
      <c r="B140" s="11"/>
      <c r="C140" s="11"/>
      <c r="D140" s="11"/>
      <c r="E140" s="53"/>
      <c r="F140" s="53"/>
      <c r="G140" s="53"/>
      <c r="H140" s="53"/>
      <c r="I140" s="53"/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17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</row>
    <row r="141" spans="1:49" ht="60" customHeight="1" x14ac:dyDescent="0.35">
      <c r="A141" s="13"/>
      <c r="B141" s="10"/>
      <c r="C141" s="10"/>
      <c r="D141" s="10"/>
      <c r="E141" s="52"/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  <c r="R141" s="52"/>
      <c r="S141" s="52"/>
      <c r="T141" s="17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</row>
    <row r="142" spans="1:49" ht="60" customHeight="1" x14ac:dyDescent="0.35">
      <c r="A142" s="14"/>
      <c r="B142" s="11"/>
      <c r="C142" s="11"/>
      <c r="D142" s="11"/>
      <c r="E142" s="53"/>
      <c r="F142" s="53"/>
      <c r="G142" s="53"/>
      <c r="H142" s="53"/>
      <c r="I142" s="53"/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17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</row>
    <row r="143" spans="1:49" ht="60" customHeight="1" x14ac:dyDescent="0.35">
      <c r="A143" s="13"/>
      <c r="B143" s="10"/>
      <c r="C143" s="10"/>
      <c r="D143" s="10"/>
      <c r="E143" s="52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  <c r="R143" s="52"/>
      <c r="S143" s="52"/>
      <c r="T143" s="17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</row>
    <row r="144" spans="1:49" ht="60" customHeight="1" x14ac:dyDescent="0.35">
      <c r="A144" s="14"/>
      <c r="B144" s="11"/>
      <c r="C144" s="11"/>
      <c r="D144" s="11"/>
      <c r="E144" s="53"/>
      <c r="F144" s="53"/>
      <c r="G144" s="53"/>
      <c r="H144" s="53"/>
      <c r="I144" s="53"/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17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</row>
    <row r="145" spans="1:49" ht="60" customHeight="1" x14ac:dyDescent="0.35">
      <c r="A145" s="13"/>
      <c r="B145" s="10"/>
      <c r="C145" s="10"/>
      <c r="D145" s="10"/>
      <c r="E145" s="52"/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  <c r="R145" s="52"/>
      <c r="S145" s="52"/>
      <c r="T145" s="17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</row>
    <row r="146" spans="1:49" ht="60" customHeight="1" x14ac:dyDescent="0.35">
      <c r="A146" s="14"/>
      <c r="B146" s="11"/>
      <c r="C146" s="11"/>
      <c r="D146" s="11"/>
      <c r="E146" s="53"/>
      <c r="F146" s="53"/>
      <c r="G146" s="53"/>
      <c r="H146" s="53"/>
      <c r="I146" s="53"/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17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</row>
    <row r="147" spans="1:49" ht="60" customHeight="1" x14ac:dyDescent="0.35">
      <c r="A147" s="13"/>
      <c r="B147" s="10"/>
      <c r="C147" s="10"/>
      <c r="D147" s="10"/>
      <c r="E147" s="52"/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  <c r="R147" s="52"/>
      <c r="S147" s="52"/>
      <c r="T147" s="17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</row>
    <row r="148" spans="1:49" ht="60" customHeight="1" x14ac:dyDescent="0.35">
      <c r="A148" s="14"/>
      <c r="B148" s="11"/>
      <c r="C148" s="11"/>
      <c r="D148" s="11"/>
      <c r="E148" s="53"/>
      <c r="F148" s="53"/>
      <c r="G148" s="53"/>
      <c r="H148" s="53"/>
      <c r="I148" s="53"/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17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</row>
    <row r="149" spans="1:49" ht="60" customHeight="1" x14ac:dyDescent="0.35">
      <c r="A149" s="13"/>
      <c r="B149" s="10"/>
      <c r="C149" s="10"/>
      <c r="D149" s="10"/>
      <c r="E149" s="52"/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  <c r="R149" s="52"/>
      <c r="S149" s="52"/>
      <c r="T149" s="17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</row>
    <row r="150" spans="1:49" ht="60" customHeight="1" x14ac:dyDescent="0.35">
      <c r="A150" s="14"/>
      <c r="B150" s="11"/>
      <c r="C150" s="11"/>
      <c r="D150" s="11"/>
      <c r="E150" s="53"/>
      <c r="F150" s="53"/>
      <c r="G150" s="53"/>
      <c r="H150" s="53"/>
      <c r="I150" s="53"/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17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</row>
    <row r="151" spans="1:49" ht="60" customHeight="1" x14ac:dyDescent="0.35">
      <c r="A151" s="13"/>
      <c r="B151" s="10"/>
      <c r="C151" s="10"/>
      <c r="D151" s="10"/>
      <c r="E151" s="52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  <c r="R151" s="52"/>
      <c r="S151" s="52"/>
      <c r="T151" s="17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</row>
    <row r="152" spans="1:49" ht="60" customHeight="1" x14ac:dyDescent="0.35">
      <c r="A152" s="14"/>
      <c r="B152" s="11"/>
      <c r="C152" s="11"/>
      <c r="D152" s="11"/>
      <c r="E152" s="53"/>
      <c r="F152" s="53"/>
      <c r="G152" s="53"/>
      <c r="H152" s="53"/>
      <c r="I152" s="53"/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17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</row>
    <row r="153" spans="1:49" ht="60" customHeight="1" x14ac:dyDescent="0.35">
      <c r="A153" s="13"/>
      <c r="B153" s="10"/>
      <c r="C153" s="10"/>
      <c r="D153" s="10"/>
      <c r="E153" s="52"/>
      <c r="F153" s="52"/>
      <c r="G153" s="52"/>
      <c r="H153" s="52"/>
      <c r="I153" s="52"/>
      <c r="J153" s="52"/>
      <c r="K153" s="52"/>
      <c r="L153" s="52"/>
      <c r="M153" s="52"/>
      <c r="N153" s="52"/>
      <c r="O153" s="52"/>
      <c r="P153" s="52"/>
      <c r="Q153" s="52"/>
      <c r="R153" s="52"/>
      <c r="S153" s="52"/>
      <c r="T153" s="17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</row>
    <row r="154" spans="1:49" ht="60" customHeight="1" x14ac:dyDescent="0.35">
      <c r="A154" s="14"/>
      <c r="B154" s="11"/>
      <c r="C154" s="11"/>
      <c r="D154" s="11"/>
      <c r="E154" s="53"/>
      <c r="F154" s="53"/>
      <c r="G154" s="53"/>
      <c r="H154" s="53"/>
      <c r="I154" s="53"/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17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</row>
    <row r="155" spans="1:49" ht="60" customHeight="1" x14ac:dyDescent="0.35">
      <c r="A155" s="13"/>
      <c r="B155" s="10"/>
      <c r="C155" s="10"/>
      <c r="D155" s="10"/>
      <c r="E155" s="52"/>
      <c r="F155" s="52"/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Q155" s="52"/>
      <c r="R155" s="52"/>
      <c r="S155" s="52"/>
      <c r="T155" s="17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</row>
    <row r="156" spans="1:49" ht="60" customHeight="1" x14ac:dyDescent="0.35">
      <c r="A156" s="14"/>
      <c r="B156" s="11"/>
      <c r="C156" s="11"/>
      <c r="D156" s="11"/>
      <c r="E156" s="53"/>
      <c r="F156" s="53"/>
      <c r="G156" s="53"/>
      <c r="H156" s="53"/>
      <c r="I156" s="53"/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17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</row>
    <row r="157" spans="1:49" ht="60" customHeight="1" x14ac:dyDescent="0.35">
      <c r="A157" s="13"/>
      <c r="B157" s="10"/>
      <c r="C157" s="10"/>
      <c r="D157" s="10"/>
      <c r="E157" s="52"/>
      <c r="F157" s="52"/>
      <c r="G157" s="52"/>
      <c r="H157" s="52"/>
      <c r="I157" s="52"/>
      <c r="J157" s="52"/>
      <c r="K157" s="52"/>
      <c r="L157" s="52"/>
      <c r="M157" s="52"/>
      <c r="N157" s="52"/>
      <c r="O157" s="52"/>
      <c r="P157" s="52"/>
      <c r="Q157" s="52"/>
      <c r="R157" s="52"/>
      <c r="S157" s="52"/>
      <c r="T157" s="17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</row>
    <row r="158" spans="1:49" ht="60" customHeight="1" x14ac:dyDescent="0.35">
      <c r="A158" s="14"/>
      <c r="B158" s="11"/>
      <c r="C158" s="11"/>
      <c r="D158" s="11"/>
      <c r="E158" s="53"/>
      <c r="F158" s="53"/>
      <c r="G158" s="53"/>
      <c r="H158" s="53"/>
      <c r="I158" s="53"/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17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</row>
    <row r="159" spans="1:49" ht="60" customHeight="1" x14ac:dyDescent="0.35">
      <c r="A159" s="13"/>
      <c r="B159" s="10"/>
      <c r="C159" s="10"/>
      <c r="D159" s="10"/>
      <c r="E159" s="52"/>
      <c r="F159" s="52"/>
      <c r="G159" s="52"/>
      <c r="H159" s="52"/>
      <c r="I159" s="52"/>
      <c r="J159" s="52"/>
      <c r="K159" s="52"/>
      <c r="L159" s="52"/>
      <c r="M159" s="52"/>
      <c r="N159" s="52"/>
      <c r="O159" s="52"/>
      <c r="P159" s="52"/>
      <c r="Q159" s="52"/>
      <c r="R159" s="52"/>
      <c r="S159" s="52"/>
      <c r="T159" s="17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</row>
    <row r="160" spans="1:49" ht="60" customHeight="1" x14ac:dyDescent="0.35">
      <c r="A160" s="14"/>
      <c r="B160" s="11"/>
      <c r="C160" s="11"/>
      <c r="D160" s="11"/>
      <c r="E160" s="53"/>
      <c r="F160" s="53"/>
      <c r="G160" s="53"/>
      <c r="H160" s="53"/>
      <c r="I160" s="53"/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17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</row>
    <row r="161" spans="1:49" ht="60" customHeight="1" x14ac:dyDescent="0.35">
      <c r="A161" s="13"/>
      <c r="B161" s="10"/>
      <c r="C161" s="10"/>
      <c r="D161" s="10"/>
      <c r="E161" s="52"/>
      <c r="F161" s="52"/>
      <c r="G161" s="52"/>
      <c r="H161" s="52"/>
      <c r="I161" s="52"/>
      <c r="J161" s="52"/>
      <c r="K161" s="52"/>
      <c r="L161" s="52"/>
      <c r="M161" s="52"/>
      <c r="N161" s="52"/>
      <c r="O161" s="52"/>
      <c r="P161" s="52"/>
      <c r="Q161" s="52"/>
      <c r="R161" s="52"/>
      <c r="S161" s="52"/>
      <c r="T161" s="17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</row>
    <row r="162" spans="1:49" ht="60" customHeight="1" x14ac:dyDescent="0.35">
      <c r="A162" s="14"/>
      <c r="B162" s="11"/>
      <c r="C162" s="11"/>
      <c r="D162" s="11"/>
      <c r="E162" s="53"/>
      <c r="F162" s="53"/>
      <c r="G162" s="53"/>
      <c r="H162" s="53"/>
      <c r="I162" s="53"/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17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</row>
    <row r="163" spans="1:49" ht="60" customHeight="1" x14ac:dyDescent="0.35">
      <c r="A163" s="13"/>
      <c r="B163" s="10"/>
      <c r="C163" s="10"/>
      <c r="D163" s="10"/>
      <c r="E163" s="52"/>
      <c r="F163" s="52"/>
      <c r="G163" s="52"/>
      <c r="H163" s="52"/>
      <c r="I163" s="52"/>
      <c r="J163" s="52"/>
      <c r="K163" s="52"/>
      <c r="L163" s="52"/>
      <c r="M163" s="52"/>
      <c r="N163" s="52"/>
      <c r="O163" s="52"/>
      <c r="P163" s="52"/>
      <c r="Q163" s="52"/>
      <c r="R163" s="52"/>
      <c r="S163" s="52"/>
      <c r="T163" s="17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</row>
    <row r="164" spans="1:49" ht="60" customHeight="1" x14ac:dyDescent="0.35">
      <c r="A164" s="14"/>
      <c r="B164" s="11"/>
      <c r="C164" s="11"/>
      <c r="D164" s="11"/>
      <c r="E164" s="53"/>
      <c r="F164" s="53"/>
      <c r="G164" s="53"/>
      <c r="H164" s="53"/>
      <c r="I164" s="53"/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17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</row>
    <row r="165" spans="1:49" ht="60" customHeight="1" x14ac:dyDescent="0.35">
      <c r="A165" s="13"/>
      <c r="B165" s="10"/>
      <c r="C165" s="10"/>
      <c r="D165" s="10"/>
      <c r="E165" s="52"/>
      <c r="F165" s="52"/>
      <c r="G165" s="52"/>
      <c r="H165" s="52"/>
      <c r="I165" s="52"/>
      <c r="J165" s="52"/>
      <c r="K165" s="52"/>
      <c r="L165" s="52"/>
      <c r="M165" s="52"/>
      <c r="N165" s="52"/>
      <c r="O165" s="52"/>
      <c r="P165" s="52"/>
      <c r="Q165" s="52"/>
      <c r="R165" s="52"/>
      <c r="S165" s="52"/>
      <c r="T165" s="17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</row>
    <row r="166" spans="1:49" ht="60" customHeight="1" x14ac:dyDescent="0.35">
      <c r="A166" s="14"/>
      <c r="B166" s="11"/>
      <c r="C166" s="11"/>
      <c r="D166" s="11"/>
      <c r="E166" s="53"/>
      <c r="F166" s="53"/>
      <c r="G166" s="53"/>
      <c r="H166" s="53"/>
      <c r="I166" s="53"/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17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</row>
    <row r="167" spans="1:49" ht="60" customHeight="1" x14ac:dyDescent="0.35">
      <c r="A167" s="13"/>
      <c r="B167" s="10"/>
      <c r="C167" s="10"/>
      <c r="D167" s="10"/>
      <c r="E167" s="52"/>
      <c r="F167" s="52"/>
      <c r="G167" s="52"/>
      <c r="H167" s="52"/>
      <c r="I167" s="52"/>
      <c r="J167" s="52"/>
      <c r="K167" s="52"/>
      <c r="L167" s="52"/>
      <c r="M167" s="52"/>
      <c r="N167" s="52"/>
      <c r="O167" s="52"/>
      <c r="P167" s="52"/>
      <c r="Q167" s="52"/>
      <c r="R167" s="52"/>
      <c r="S167" s="52"/>
      <c r="T167" s="17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</row>
    <row r="168" spans="1:49" ht="60" customHeight="1" x14ac:dyDescent="0.35">
      <c r="A168" s="14"/>
      <c r="B168" s="11"/>
      <c r="C168" s="11"/>
      <c r="D168" s="11"/>
      <c r="E168" s="53"/>
      <c r="F168" s="53"/>
      <c r="G168" s="53"/>
      <c r="H168" s="53"/>
      <c r="I168" s="53"/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17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</row>
    <row r="169" spans="1:49" ht="60" customHeight="1" x14ac:dyDescent="0.35">
      <c r="A169" s="13"/>
      <c r="B169" s="10"/>
      <c r="C169" s="10"/>
      <c r="D169" s="10"/>
      <c r="E169" s="52"/>
      <c r="F169" s="52"/>
      <c r="G169" s="52"/>
      <c r="H169" s="52"/>
      <c r="I169" s="52"/>
      <c r="J169" s="52"/>
      <c r="K169" s="52"/>
      <c r="L169" s="52"/>
      <c r="M169" s="52"/>
      <c r="N169" s="52"/>
      <c r="O169" s="52"/>
      <c r="P169" s="52"/>
      <c r="Q169" s="52"/>
      <c r="R169" s="52"/>
      <c r="S169" s="52"/>
      <c r="T169" s="17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</row>
    <row r="170" spans="1:49" ht="60" customHeight="1" x14ac:dyDescent="0.35">
      <c r="A170" s="14"/>
      <c r="B170" s="11"/>
      <c r="C170" s="11"/>
      <c r="D170" s="11"/>
      <c r="E170" s="53"/>
      <c r="F170" s="53"/>
      <c r="G170" s="53"/>
      <c r="H170" s="53"/>
      <c r="I170" s="53"/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17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</row>
    <row r="171" spans="1:49" ht="60" customHeight="1" x14ac:dyDescent="0.35">
      <c r="A171" s="13"/>
      <c r="B171" s="10"/>
      <c r="C171" s="10"/>
      <c r="D171" s="10"/>
      <c r="E171" s="52"/>
      <c r="F171" s="52"/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Q171" s="52"/>
      <c r="R171" s="52"/>
      <c r="S171" s="52"/>
      <c r="T171" s="17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</row>
    <row r="172" spans="1:49" ht="60" customHeight="1" x14ac:dyDescent="0.35">
      <c r="A172" s="14"/>
      <c r="B172" s="11"/>
      <c r="C172" s="11"/>
      <c r="D172" s="11"/>
      <c r="E172" s="53"/>
      <c r="F172" s="53"/>
      <c r="G172" s="53"/>
      <c r="H172" s="53"/>
      <c r="I172" s="53"/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17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</row>
    <row r="173" spans="1:49" ht="60" customHeight="1" x14ac:dyDescent="0.35">
      <c r="A173" s="13"/>
      <c r="B173" s="10"/>
      <c r="C173" s="10"/>
      <c r="D173" s="10"/>
      <c r="E173" s="52"/>
      <c r="F173" s="52"/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Q173" s="52"/>
      <c r="R173" s="52"/>
      <c r="S173" s="52"/>
      <c r="T173" s="17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</row>
    <row r="174" spans="1:49" ht="60" customHeight="1" x14ac:dyDescent="0.35">
      <c r="A174" s="14"/>
      <c r="B174" s="11"/>
      <c r="C174" s="11"/>
      <c r="D174" s="11"/>
      <c r="E174" s="53"/>
      <c r="F174" s="53"/>
      <c r="G174" s="53"/>
      <c r="H174" s="53"/>
      <c r="I174" s="53"/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17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</row>
    <row r="175" spans="1:49" ht="60" customHeight="1" x14ac:dyDescent="0.35">
      <c r="A175" s="13"/>
      <c r="B175" s="10"/>
      <c r="C175" s="10"/>
      <c r="D175" s="10"/>
      <c r="E175" s="52"/>
      <c r="F175" s="52"/>
      <c r="G175" s="52"/>
      <c r="H175" s="52"/>
      <c r="I175" s="52"/>
      <c r="J175" s="52"/>
      <c r="K175" s="52"/>
      <c r="L175" s="52"/>
      <c r="M175" s="52"/>
      <c r="N175" s="52"/>
      <c r="O175" s="52"/>
      <c r="P175" s="52"/>
      <c r="Q175" s="52"/>
      <c r="R175" s="52"/>
      <c r="S175" s="52"/>
      <c r="T175" s="17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</row>
    <row r="176" spans="1:49" ht="60" customHeight="1" x14ac:dyDescent="0.35">
      <c r="A176" s="14"/>
      <c r="B176" s="11"/>
      <c r="C176" s="11"/>
      <c r="D176" s="11"/>
      <c r="E176" s="53"/>
      <c r="F176" s="53"/>
      <c r="G176" s="53"/>
      <c r="H176" s="53"/>
      <c r="I176" s="53"/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17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</row>
    <row r="177" spans="1:49" ht="60" customHeight="1" x14ac:dyDescent="0.35">
      <c r="A177" s="13"/>
      <c r="B177" s="10"/>
      <c r="C177" s="10"/>
      <c r="D177" s="10"/>
      <c r="E177" s="52"/>
      <c r="F177" s="52"/>
      <c r="G177" s="52"/>
      <c r="H177" s="52"/>
      <c r="I177" s="52"/>
      <c r="J177" s="52"/>
      <c r="K177" s="52"/>
      <c r="L177" s="52"/>
      <c r="M177" s="52"/>
      <c r="N177" s="52"/>
      <c r="O177" s="52"/>
      <c r="P177" s="52"/>
      <c r="Q177" s="52"/>
      <c r="R177" s="52"/>
      <c r="S177" s="52"/>
      <c r="T177" s="17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</row>
    <row r="178" spans="1:49" ht="60" customHeight="1" x14ac:dyDescent="0.35">
      <c r="A178" s="14"/>
      <c r="B178" s="11"/>
      <c r="C178" s="11"/>
      <c r="D178" s="11"/>
      <c r="E178" s="53"/>
      <c r="F178" s="53"/>
      <c r="G178" s="53"/>
      <c r="H178" s="53"/>
      <c r="I178" s="53"/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17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</row>
    <row r="179" spans="1:49" ht="60" customHeight="1" x14ac:dyDescent="0.35">
      <c r="A179" s="13"/>
      <c r="B179" s="10"/>
      <c r="C179" s="10"/>
      <c r="D179" s="10"/>
      <c r="E179" s="52"/>
      <c r="F179" s="52"/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  <c r="R179" s="52"/>
      <c r="S179" s="52"/>
      <c r="T179" s="17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</row>
    <row r="180" spans="1:49" ht="60" customHeight="1" x14ac:dyDescent="0.35">
      <c r="A180" s="14"/>
      <c r="B180" s="11"/>
      <c r="C180" s="11"/>
      <c r="D180" s="11"/>
      <c r="E180" s="53"/>
      <c r="F180" s="53"/>
      <c r="G180" s="53"/>
      <c r="H180" s="53"/>
      <c r="I180" s="53"/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17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</row>
    <row r="181" spans="1:49" ht="60" customHeight="1" x14ac:dyDescent="0.35">
      <c r="A181" s="13"/>
      <c r="B181" s="10"/>
      <c r="C181" s="10"/>
      <c r="D181" s="10"/>
      <c r="E181" s="52"/>
      <c r="F181" s="52"/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  <c r="R181" s="52"/>
      <c r="S181" s="52"/>
      <c r="T181" s="17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</row>
    <row r="182" spans="1:49" ht="60" customHeight="1" x14ac:dyDescent="0.35">
      <c r="A182" s="14"/>
      <c r="B182" s="11"/>
      <c r="C182" s="11"/>
      <c r="D182" s="11"/>
      <c r="E182" s="53"/>
      <c r="F182" s="53"/>
      <c r="G182" s="53"/>
      <c r="H182" s="53"/>
      <c r="I182" s="53"/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17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</row>
    <row r="183" spans="1:49" ht="60" customHeight="1" x14ac:dyDescent="0.35">
      <c r="A183" s="13"/>
      <c r="B183" s="10"/>
      <c r="C183" s="10"/>
      <c r="D183" s="10"/>
      <c r="E183" s="52"/>
      <c r="F183" s="52"/>
      <c r="G183" s="52"/>
      <c r="H183" s="52"/>
      <c r="I183" s="52"/>
      <c r="J183" s="52"/>
      <c r="K183" s="52"/>
      <c r="L183" s="52"/>
      <c r="M183" s="52"/>
      <c r="N183" s="52"/>
      <c r="O183" s="52"/>
      <c r="P183" s="52"/>
      <c r="Q183" s="52"/>
      <c r="R183" s="52"/>
      <c r="S183" s="52"/>
      <c r="T183" s="17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</row>
    <row r="184" spans="1:49" ht="60" customHeight="1" x14ac:dyDescent="0.35">
      <c r="A184" s="14"/>
      <c r="B184" s="11"/>
      <c r="C184" s="11"/>
      <c r="D184" s="11"/>
      <c r="E184" s="53"/>
      <c r="F184" s="53"/>
      <c r="G184" s="53"/>
      <c r="H184" s="53"/>
      <c r="I184" s="53"/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17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</row>
    <row r="185" spans="1:49" ht="60" customHeight="1" x14ac:dyDescent="0.35">
      <c r="A185" s="13"/>
      <c r="B185" s="10"/>
      <c r="C185" s="10"/>
      <c r="D185" s="10"/>
      <c r="E185" s="52"/>
      <c r="F185" s="52"/>
      <c r="G185" s="52"/>
      <c r="H185" s="52"/>
      <c r="I185" s="52"/>
      <c r="J185" s="52"/>
      <c r="K185" s="52"/>
      <c r="L185" s="52"/>
      <c r="M185" s="52"/>
      <c r="N185" s="52"/>
      <c r="O185" s="52"/>
      <c r="P185" s="52"/>
      <c r="Q185" s="52"/>
      <c r="R185" s="52"/>
      <c r="S185" s="52"/>
      <c r="T185" s="17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</row>
    <row r="186" spans="1:49" ht="60" customHeight="1" x14ac:dyDescent="0.35">
      <c r="A186" s="14"/>
      <c r="B186" s="11"/>
      <c r="C186" s="11"/>
      <c r="D186" s="11"/>
      <c r="E186" s="53"/>
      <c r="F186" s="53"/>
      <c r="G186" s="53"/>
      <c r="H186" s="53"/>
      <c r="I186" s="53"/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17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</row>
    <row r="187" spans="1:49" ht="60" customHeight="1" x14ac:dyDescent="0.35">
      <c r="A187" s="13"/>
      <c r="B187" s="10"/>
      <c r="C187" s="10"/>
      <c r="D187" s="10"/>
      <c r="E187" s="52"/>
      <c r="F187" s="52"/>
      <c r="G187" s="52"/>
      <c r="H187" s="52"/>
      <c r="I187" s="52"/>
      <c r="J187" s="52"/>
      <c r="K187" s="52"/>
      <c r="L187" s="52"/>
      <c r="M187" s="52"/>
      <c r="N187" s="52"/>
      <c r="O187" s="52"/>
      <c r="P187" s="52"/>
      <c r="Q187" s="52"/>
      <c r="R187" s="52"/>
      <c r="S187" s="52"/>
      <c r="T187" s="17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</row>
    <row r="188" spans="1:49" ht="60" customHeight="1" x14ac:dyDescent="0.35">
      <c r="A188" s="14"/>
      <c r="B188" s="11"/>
      <c r="C188" s="11"/>
      <c r="D188" s="11"/>
      <c r="E188" s="53"/>
      <c r="F188" s="53"/>
      <c r="G188" s="53"/>
      <c r="H188" s="53"/>
      <c r="I188" s="53"/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17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</row>
    <row r="189" spans="1:49" ht="60" customHeight="1" x14ac:dyDescent="0.35">
      <c r="A189" s="13"/>
      <c r="B189" s="10"/>
      <c r="C189" s="10"/>
      <c r="D189" s="10"/>
      <c r="E189" s="52"/>
      <c r="F189" s="52"/>
      <c r="G189" s="52"/>
      <c r="H189" s="52"/>
      <c r="I189" s="52"/>
      <c r="J189" s="52"/>
      <c r="K189" s="52"/>
      <c r="L189" s="52"/>
      <c r="M189" s="52"/>
      <c r="N189" s="52"/>
      <c r="O189" s="52"/>
      <c r="P189" s="52"/>
      <c r="Q189" s="52"/>
      <c r="R189" s="52"/>
      <c r="S189" s="52"/>
      <c r="T189" s="17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</row>
    <row r="190" spans="1:49" ht="60" customHeight="1" x14ac:dyDescent="0.35">
      <c r="A190" s="14"/>
      <c r="B190" s="11"/>
      <c r="C190" s="11"/>
      <c r="D190" s="11"/>
      <c r="E190" s="53"/>
      <c r="F190" s="53"/>
      <c r="G190" s="53"/>
      <c r="H190" s="53"/>
      <c r="I190" s="53"/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17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</row>
    <row r="191" spans="1:49" ht="60" customHeight="1" x14ac:dyDescent="0.35">
      <c r="A191" s="13"/>
      <c r="B191" s="10"/>
      <c r="C191" s="10"/>
      <c r="D191" s="10"/>
      <c r="E191" s="52"/>
      <c r="F191" s="52"/>
      <c r="G191" s="52"/>
      <c r="H191" s="52"/>
      <c r="I191" s="52"/>
      <c r="J191" s="52"/>
      <c r="K191" s="52"/>
      <c r="L191" s="52"/>
      <c r="M191" s="52"/>
      <c r="N191" s="52"/>
      <c r="O191" s="52"/>
      <c r="P191" s="52"/>
      <c r="Q191" s="52"/>
      <c r="R191" s="52"/>
      <c r="S191" s="52"/>
      <c r="T191" s="17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</row>
    <row r="192" spans="1:49" ht="60" customHeight="1" x14ac:dyDescent="0.35">
      <c r="A192" s="14"/>
      <c r="B192" s="11"/>
      <c r="C192" s="11"/>
      <c r="D192" s="11"/>
      <c r="E192" s="53"/>
      <c r="F192" s="53"/>
      <c r="G192" s="53"/>
      <c r="H192" s="53"/>
      <c r="I192" s="53"/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17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</row>
    <row r="193" spans="1:49" ht="60" customHeight="1" x14ac:dyDescent="0.35">
      <c r="A193" s="13"/>
      <c r="B193" s="10"/>
      <c r="C193" s="10"/>
      <c r="D193" s="10"/>
      <c r="E193" s="52"/>
      <c r="F193" s="52"/>
      <c r="G193" s="52"/>
      <c r="H193" s="52"/>
      <c r="I193" s="52"/>
      <c r="J193" s="52"/>
      <c r="K193" s="52"/>
      <c r="L193" s="52"/>
      <c r="M193" s="52"/>
      <c r="N193" s="52"/>
      <c r="O193" s="52"/>
      <c r="P193" s="52"/>
      <c r="Q193" s="52"/>
      <c r="R193" s="52"/>
      <c r="S193" s="52"/>
      <c r="T193" s="17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</row>
    <row r="194" spans="1:49" ht="60" customHeight="1" x14ac:dyDescent="0.35">
      <c r="A194" s="14"/>
      <c r="B194" s="11"/>
      <c r="C194" s="11"/>
      <c r="D194" s="11"/>
      <c r="E194" s="53"/>
      <c r="F194" s="53"/>
      <c r="G194" s="53"/>
      <c r="H194" s="53"/>
      <c r="I194" s="53"/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17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</row>
    <row r="195" spans="1:49" ht="60" customHeight="1" x14ac:dyDescent="0.35">
      <c r="A195" s="13"/>
      <c r="B195" s="10"/>
      <c r="C195" s="10"/>
      <c r="D195" s="10"/>
      <c r="E195" s="52"/>
      <c r="F195" s="52"/>
      <c r="G195" s="52"/>
      <c r="H195" s="52"/>
      <c r="I195" s="52"/>
      <c r="J195" s="52"/>
      <c r="K195" s="52"/>
      <c r="L195" s="52"/>
      <c r="M195" s="52"/>
      <c r="N195" s="52"/>
      <c r="O195" s="52"/>
      <c r="P195" s="52"/>
      <c r="Q195" s="52"/>
      <c r="R195" s="52"/>
      <c r="S195" s="52"/>
      <c r="T195" s="17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</row>
    <row r="196" spans="1:49" ht="60" customHeight="1" x14ac:dyDescent="0.35">
      <c r="A196" s="14"/>
      <c r="B196" s="11"/>
      <c r="C196" s="11"/>
      <c r="D196" s="11"/>
      <c r="E196" s="53"/>
      <c r="F196" s="53"/>
      <c r="G196" s="53"/>
      <c r="H196" s="53"/>
      <c r="I196" s="53"/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17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</row>
    <row r="197" spans="1:49" ht="60" customHeight="1" x14ac:dyDescent="0.35">
      <c r="A197" s="13"/>
      <c r="B197" s="10"/>
      <c r="C197" s="10"/>
      <c r="D197" s="10"/>
      <c r="E197" s="52"/>
      <c r="F197" s="52"/>
      <c r="G197" s="52"/>
      <c r="H197" s="52"/>
      <c r="I197" s="52"/>
      <c r="J197" s="52"/>
      <c r="K197" s="52"/>
      <c r="L197" s="52"/>
      <c r="M197" s="52"/>
      <c r="N197" s="52"/>
      <c r="O197" s="52"/>
      <c r="P197" s="52"/>
      <c r="Q197" s="52"/>
      <c r="R197" s="52"/>
      <c r="S197" s="52"/>
      <c r="T197" s="17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</row>
    <row r="198" spans="1:49" ht="60" customHeight="1" x14ac:dyDescent="0.35">
      <c r="A198" s="14"/>
      <c r="B198" s="11"/>
      <c r="C198" s="11"/>
      <c r="D198" s="11"/>
      <c r="E198" s="53"/>
      <c r="F198" s="53"/>
      <c r="G198" s="53"/>
      <c r="H198" s="53"/>
      <c r="I198" s="53"/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17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</row>
    <row r="199" spans="1:49" ht="60" customHeight="1" x14ac:dyDescent="0.35">
      <c r="A199" s="13"/>
      <c r="B199" s="10"/>
      <c r="C199" s="10"/>
      <c r="D199" s="10"/>
      <c r="E199" s="52"/>
      <c r="F199" s="52"/>
      <c r="G199" s="52"/>
      <c r="H199" s="52"/>
      <c r="I199" s="52"/>
      <c r="J199" s="52"/>
      <c r="K199" s="52"/>
      <c r="L199" s="52"/>
      <c r="M199" s="52"/>
      <c r="N199" s="52"/>
      <c r="O199" s="52"/>
      <c r="P199" s="52"/>
      <c r="Q199" s="52"/>
      <c r="R199" s="52"/>
      <c r="S199" s="52"/>
      <c r="T199" s="17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</row>
    <row r="200" spans="1:49" ht="60" customHeight="1" x14ac:dyDescent="0.35">
      <c r="A200" s="13"/>
      <c r="B200" s="10"/>
      <c r="C200" s="10"/>
      <c r="D200" s="10"/>
      <c r="E200" s="52"/>
      <c r="F200" s="52"/>
      <c r="G200" s="52"/>
      <c r="H200" s="52"/>
      <c r="I200" s="52"/>
      <c r="J200" s="52"/>
      <c r="K200" s="52"/>
      <c r="L200" s="52"/>
      <c r="M200" s="52"/>
      <c r="N200" s="52"/>
      <c r="O200" s="52"/>
      <c r="P200" s="52"/>
      <c r="Q200" s="52"/>
      <c r="R200" s="52"/>
      <c r="S200" s="52"/>
      <c r="T200" s="17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</row>
    <row r="201" spans="1:49" ht="60" customHeight="1" x14ac:dyDescent="0.35">
      <c r="A201" s="14"/>
      <c r="B201" s="11"/>
      <c r="C201" s="11"/>
      <c r="D201" s="11"/>
      <c r="E201" s="53"/>
      <c r="F201" s="53"/>
      <c r="G201" s="53"/>
      <c r="H201" s="53"/>
      <c r="I201" s="53"/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17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</row>
    <row r="202" spans="1:49" ht="60" customHeight="1" x14ac:dyDescent="0.35">
      <c r="A202" s="13"/>
      <c r="B202" s="10"/>
      <c r="C202" s="10"/>
      <c r="D202" s="10"/>
      <c r="E202" s="52"/>
      <c r="F202" s="52"/>
      <c r="G202" s="52"/>
      <c r="H202" s="52"/>
      <c r="I202" s="52"/>
      <c r="J202" s="52"/>
      <c r="K202" s="52"/>
      <c r="L202" s="52"/>
      <c r="M202" s="52"/>
      <c r="N202" s="52"/>
      <c r="O202" s="52"/>
      <c r="P202" s="52"/>
      <c r="Q202" s="52"/>
      <c r="R202" s="52"/>
      <c r="S202" s="52"/>
      <c r="T202" s="17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</row>
    <row r="203" spans="1:49" ht="60" customHeight="1" x14ac:dyDescent="0.35">
      <c r="A203" s="14"/>
      <c r="B203" s="11"/>
      <c r="C203" s="11"/>
      <c r="D203" s="11"/>
      <c r="E203" s="53"/>
      <c r="F203" s="53"/>
      <c r="G203" s="53"/>
      <c r="H203" s="53"/>
      <c r="I203" s="53"/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17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</row>
    <row r="204" spans="1:49" ht="60" customHeight="1" x14ac:dyDescent="0.35">
      <c r="A204" s="13"/>
      <c r="B204" s="10"/>
      <c r="C204" s="10"/>
      <c r="D204" s="10"/>
      <c r="E204" s="52"/>
      <c r="F204" s="52"/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52"/>
      <c r="R204" s="52"/>
      <c r="S204" s="52"/>
      <c r="T204" s="17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</row>
    <row r="205" spans="1:49" ht="60" customHeight="1" x14ac:dyDescent="0.35">
      <c r="A205" s="14"/>
      <c r="B205" s="11"/>
      <c r="C205" s="11"/>
      <c r="D205" s="11"/>
      <c r="E205" s="53"/>
      <c r="F205" s="53"/>
      <c r="G205" s="53"/>
      <c r="H205" s="53"/>
      <c r="I205" s="53"/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17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</row>
    <row r="206" spans="1:49" ht="60" customHeight="1" x14ac:dyDescent="0.35">
      <c r="A206" s="13"/>
      <c r="B206" s="10"/>
      <c r="C206" s="10"/>
      <c r="D206" s="10"/>
      <c r="E206" s="52"/>
      <c r="F206" s="52"/>
      <c r="G206" s="52"/>
      <c r="H206" s="52"/>
      <c r="I206" s="52"/>
      <c r="J206" s="52"/>
      <c r="K206" s="52"/>
      <c r="L206" s="52"/>
      <c r="M206" s="52"/>
      <c r="N206" s="52"/>
      <c r="O206" s="52"/>
      <c r="P206" s="52"/>
      <c r="Q206" s="52"/>
      <c r="R206" s="52"/>
      <c r="S206" s="52"/>
      <c r="T206" s="17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</row>
    <row r="207" spans="1:49" ht="60" customHeight="1" x14ac:dyDescent="0.35">
      <c r="A207" s="14"/>
      <c r="B207" s="11"/>
      <c r="C207" s="11"/>
      <c r="D207" s="11"/>
      <c r="E207" s="53"/>
      <c r="F207" s="53"/>
      <c r="G207" s="53"/>
      <c r="H207" s="53"/>
      <c r="I207" s="53"/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17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</row>
    <row r="208" spans="1:49" ht="60" customHeight="1" x14ac:dyDescent="0.35">
      <c r="A208" s="13"/>
      <c r="B208" s="10"/>
      <c r="C208" s="10"/>
      <c r="D208" s="10"/>
      <c r="E208" s="52"/>
      <c r="F208" s="52"/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52"/>
      <c r="R208" s="52"/>
      <c r="S208" s="52"/>
      <c r="T208" s="17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</row>
    <row r="209" spans="1:49" ht="60" customHeight="1" x14ac:dyDescent="0.35">
      <c r="A209" s="14"/>
      <c r="B209" s="11"/>
      <c r="C209" s="11"/>
      <c r="D209" s="11"/>
      <c r="E209" s="53"/>
      <c r="F209" s="53"/>
      <c r="G209" s="53"/>
      <c r="H209" s="53"/>
      <c r="I209" s="53"/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17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</row>
    <row r="210" spans="1:49" ht="60" customHeight="1" x14ac:dyDescent="0.35">
      <c r="A210" s="13"/>
      <c r="B210" s="10"/>
      <c r="C210" s="10"/>
      <c r="D210" s="10"/>
      <c r="E210" s="52"/>
      <c r="F210" s="52"/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52"/>
      <c r="R210" s="52"/>
      <c r="S210" s="52"/>
      <c r="T210" s="17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</row>
    <row r="211" spans="1:49" ht="60" customHeight="1" x14ac:dyDescent="0.35">
      <c r="A211" s="14"/>
      <c r="B211" s="11"/>
      <c r="C211" s="11"/>
      <c r="D211" s="11"/>
      <c r="E211" s="53"/>
      <c r="F211" s="53"/>
      <c r="G211" s="53"/>
      <c r="H211" s="53"/>
      <c r="I211" s="53"/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17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</row>
    <row r="212" spans="1:49" ht="60" customHeight="1" x14ac:dyDescent="0.35">
      <c r="A212" s="13"/>
      <c r="B212" s="10"/>
      <c r="C212" s="10"/>
      <c r="D212" s="10"/>
      <c r="E212" s="52"/>
      <c r="F212" s="52"/>
      <c r="G212" s="52"/>
      <c r="H212" s="52"/>
      <c r="I212" s="52"/>
      <c r="J212" s="52"/>
      <c r="K212" s="52"/>
      <c r="L212" s="52"/>
      <c r="M212" s="52"/>
      <c r="N212" s="52"/>
      <c r="O212" s="52"/>
      <c r="P212" s="52"/>
      <c r="Q212" s="52"/>
      <c r="R212" s="52"/>
      <c r="S212" s="52"/>
      <c r="T212" s="17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</row>
    <row r="213" spans="1:49" ht="60" customHeight="1" x14ac:dyDescent="0.35">
      <c r="A213" s="14"/>
      <c r="B213" s="11"/>
      <c r="C213" s="11"/>
      <c r="D213" s="11"/>
      <c r="E213" s="53"/>
      <c r="F213" s="53"/>
      <c r="G213" s="53"/>
      <c r="H213" s="53"/>
      <c r="I213" s="53"/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17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1:49" ht="60" customHeight="1" x14ac:dyDescent="0.35">
      <c r="A214" s="13"/>
      <c r="B214" s="10"/>
      <c r="C214" s="10"/>
      <c r="D214" s="10"/>
      <c r="E214" s="52"/>
      <c r="F214" s="52"/>
      <c r="G214" s="52"/>
      <c r="H214" s="52"/>
      <c r="I214" s="52"/>
      <c r="J214" s="52"/>
      <c r="K214" s="52"/>
      <c r="L214" s="52"/>
      <c r="M214" s="52"/>
      <c r="N214" s="52"/>
      <c r="O214" s="52"/>
      <c r="P214" s="52"/>
      <c r="Q214" s="52"/>
      <c r="R214" s="52"/>
      <c r="S214" s="52"/>
      <c r="T214" s="17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1:49" ht="60" customHeight="1" x14ac:dyDescent="0.35">
      <c r="A215" s="14"/>
      <c r="B215" s="11"/>
      <c r="C215" s="11"/>
      <c r="D215" s="11"/>
      <c r="E215" s="53"/>
      <c r="F215" s="53"/>
      <c r="G215" s="53"/>
      <c r="H215" s="53"/>
      <c r="I215" s="53"/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17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1:49" ht="60" customHeight="1" x14ac:dyDescent="0.35">
      <c r="A216" s="13"/>
      <c r="B216" s="10"/>
      <c r="C216" s="10"/>
      <c r="D216" s="10"/>
      <c r="E216" s="52"/>
      <c r="F216" s="52"/>
      <c r="G216" s="52"/>
      <c r="H216" s="52"/>
      <c r="I216" s="52"/>
      <c r="J216" s="52"/>
      <c r="K216" s="52"/>
      <c r="L216" s="52"/>
      <c r="M216" s="52"/>
      <c r="N216" s="52"/>
      <c r="O216" s="52"/>
      <c r="P216" s="52"/>
      <c r="Q216" s="52"/>
      <c r="R216" s="52"/>
      <c r="S216" s="52"/>
      <c r="T216" s="17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1:49" ht="60" customHeight="1" x14ac:dyDescent="0.35">
      <c r="A217" s="14"/>
      <c r="B217" s="11"/>
      <c r="C217" s="11"/>
      <c r="D217" s="11"/>
      <c r="E217" s="53"/>
      <c r="F217" s="53"/>
      <c r="G217" s="53"/>
      <c r="H217" s="53"/>
      <c r="I217" s="53"/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17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1:49" ht="60" customHeight="1" x14ac:dyDescent="0.35">
      <c r="A218" s="13"/>
      <c r="B218" s="10"/>
      <c r="C218" s="10"/>
      <c r="D218" s="10"/>
      <c r="E218" s="52"/>
      <c r="F218" s="52"/>
      <c r="G218" s="52"/>
      <c r="H218" s="52"/>
      <c r="I218" s="52"/>
      <c r="J218" s="52"/>
      <c r="K218" s="52"/>
      <c r="L218" s="52"/>
      <c r="M218" s="52"/>
      <c r="N218" s="52"/>
      <c r="O218" s="52"/>
      <c r="P218" s="52"/>
      <c r="Q218" s="52"/>
      <c r="R218" s="52"/>
      <c r="S218" s="52"/>
      <c r="T218" s="17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1:49" ht="60" customHeight="1" x14ac:dyDescent="0.35">
      <c r="A219" s="14"/>
      <c r="B219" s="11"/>
      <c r="C219" s="11"/>
      <c r="D219" s="11"/>
      <c r="E219" s="53"/>
      <c r="F219" s="53"/>
      <c r="G219" s="53"/>
      <c r="H219" s="53"/>
      <c r="I219" s="53"/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17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1:49" ht="60" customHeight="1" x14ac:dyDescent="0.35">
      <c r="A220" s="13"/>
      <c r="B220" s="10"/>
      <c r="C220" s="10"/>
      <c r="D220" s="10"/>
      <c r="E220" s="52"/>
      <c r="F220" s="52"/>
      <c r="G220" s="52"/>
      <c r="H220" s="52"/>
      <c r="I220" s="52"/>
      <c r="J220" s="52"/>
      <c r="K220" s="52"/>
      <c r="L220" s="52"/>
      <c r="M220" s="52"/>
      <c r="N220" s="52"/>
      <c r="O220" s="52"/>
      <c r="P220" s="52"/>
      <c r="Q220" s="52"/>
      <c r="R220" s="52"/>
      <c r="S220" s="52"/>
      <c r="T220" s="17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1:49" ht="60" customHeight="1" x14ac:dyDescent="0.35">
      <c r="A221" s="14"/>
      <c r="B221" s="11"/>
      <c r="C221" s="11"/>
      <c r="D221" s="11"/>
      <c r="E221" s="53"/>
      <c r="F221" s="53"/>
      <c r="G221" s="53"/>
      <c r="H221" s="53"/>
      <c r="I221" s="53"/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17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1:49" ht="60" customHeight="1" x14ac:dyDescent="0.35">
      <c r="A222" s="13"/>
      <c r="B222" s="10"/>
      <c r="C222" s="10"/>
      <c r="D222" s="10"/>
      <c r="E222" s="52"/>
      <c r="F222" s="52"/>
      <c r="G222" s="52"/>
      <c r="H222" s="52"/>
      <c r="I222" s="52"/>
      <c r="J222" s="52"/>
      <c r="K222" s="52"/>
      <c r="L222" s="52"/>
      <c r="M222" s="52"/>
      <c r="N222" s="52"/>
      <c r="O222" s="52"/>
      <c r="P222" s="52"/>
      <c r="Q222" s="52"/>
      <c r="R222" s="52"/>
      <c r="S222" s="52"/>
      <c r="T222" s="17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</row>
    <row r="223" spans="1:49" ht="60" customHeight="1" x14ac:dyDescent="0.35">
      <c r="A223" s="14"/>
      <c r="B223" s="11"/>
      <c r="C223" s="11"/>
      <c r="D223" s="11"/>
      <c r="E223" s="53"/>
      <c r="F223" s="53"/>
      <c r="G223" s="53"/>
      <c r="H223" s="53"/>
      <c r="I223" s="53"/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17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</row>
    <row r="224" spans="1:49" ht="60" customHeight="1" x14ac:dyDescent="0.35">
      <c r="A224" s="13"/>
      <c r="B224" s="10"/>
      <c r="C224" s="10"/>
      <c r="D224" s="10"/>
      <c r="E224" s="52"/>
      <c r="F224" s="52"/>
      <c r="G224" s="52"/>
      <c r="H224" s="52"/>
      <c r="I224" s="52"/>
      <c r="J224" s="52"/>
      <c r="K224" s="52"/>
      <c r="L224" s="52"/>
      <c r="M224" s="52"/>
      <c r="N224" s="52"/>
      <c r="O224" s="52"/>
      <c r="P224" s="52"/>
      <c r="Q224" s="52"/>
      <c r="R224" s="52"/>
      <c r="S224" s="52"/>
      <c r="T224" s="17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</row>
    <row r="225" spans="1:40" ht="60" customHeight="1" x14ac:dyDescent="0.35">
      <c r="A225" s="14"/>
      <c r="B225" s="11"/>
      <c r="C225" s="11"/>
      <c r="D225" s="11"/>
      <c r="E225" s="53"/>
      <c r="F225" s="53"/>
      <c r="G225" s="53"/>
      <c r="H225" s="53"/>
      <c r="I225" s="53"/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17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</row>
    <row r="226" spans="1:40" ht="60" customHeight="1" x14ac:dyDescent="0.35">
      <c r="A226" s="13"/>
      <c r="B226" s="10"/>
      <c r="C226" s="10"/>
      <c r="D226" s="10"/>
      <c r="E226" s="52"/>
      <c r="F226" s="52"/>
      <c r="G226" s="52"/>
      <c r="H226" s="52"/>
      <c r="I226" s="52"/>
      <c r="J226" s="52"/>
      <c r="K226" s="52"/>
      <c r="L226" s="52"/>
      <c r="M226" s="52"/>
      <c r="N226" s="52"/>
      <c r="O226" s="52"/>
      <c r="P226" s="52"/>
      <c r="Q226" s="52"/>
      <c r="R226" s="52"/>
      <c r="S226" s="52"/>
      <c r="T226" s="17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</row>
    <row r="227" spans="1:40" ht="60" customHeight="1" x14ac:dyDescent="0.35">
      <c r="A227" s="14"/>
      <c r="B227" s="11"/>
      <c r="C227" s="11"/>
      <c r="D227" s="11"/>
      <c r="E227" s="53"/>
      <c r="F227" s="53"/>
      <c r="G227" s="53"/>
      <c r="H227" s="53"/>
      <c r="I227" s="53"/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17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</row>
    <row r="228" spans="1:40" ht="60" customHeight="1" x14ac:dyDescent="0.35">
      <c r="A228" s="13"/>
      <c r="B228" s="10"/>
      <c r="C228" s="10"/>
      <c r="D228" s="10"/>
      <c r="E228" s="52"/>
      <c r="F228" s="52"/>
      <c r="G228" s="52"/>
      <c r="H228" s="52"/>
      <c r="I228" s="52"/>
      <c r="J228" s="52"/>
      <c r="K228" s="52"/>
      <c r="L228" s="52"/>
      <c r="M228" s="52"/>
      <c r="N228" s="52"/>
      <c r="O228" s="52"/>
      <c r="P228" s="52"/>
      <c r="Q228" s="52"/>
      <c r="R228" s="52"/>
      <c r="S228" s="52"/>
      <c r="T228" s="17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</row>
    <row r="229" spans="1:40" ht="60" customHeight="1" x14ac:dyDescent="0.35">
      <c r="A229" s="14"/>
      <c r="B229" s="11"/>
      <c r="C229" s="11"/>
      <c r="D229" s="11"/>
      <c r="E229" s="53"/>
      <c r="F229" s="53"/>
      <c r="G229" s="53"/>
      <c r="H229" s="53"/>
      <c r="I229" s="53"/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17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</row>
    <row r="230" spans="1:40" ht="60" customHeight="1" x14ac:dyDescent="0.35">
      <c r="A230" s="13"/>
      <c r="B230" s="10"/>
      <c r="C230" s="10"/>
      <c r="D230" s="10"/>
      <c r="E230" s="52"/>
      <c r="F230" s="52"/>
      <c r="G230" s="52"/>
      <c r="H230" s="52"/>
      <c r="I230" s="52"/>
      <c r="J230" s="52"/>
      <c r="K230" s="52"/>
      <c r="L230" s="52"/>
      <c r="M230" s="52"/>
      <c r="N230" s="52"/>
      <c r="O230" s="52"/>
      <c r="P230" s="52"/>
      <c r="Q230" s="52"/>
      <c r="R230" s="52"/>
      <c r="S230" s="52"/>
      <c r="T230" s="17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</row>
    <row r="231" spans="1:40" ht="60" customHeight="1" x14ac:dyDescent="0.35">
      <c r="A231" s="14"/>
      <c r="B231" s="11"/>
      <c r="C231" s="11"/>
      <c r="D231" s="11"/>
      <c r="E231" s="53"/>
      <c r="F231" s="53"/>
      <c r="G231" s="53"/>
      <c r="H231" s="53"/>
      <c r="I231" s="53"/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17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1:40" ht="60" customHeight="1" x14ac:dyDescent="0.35">
      <c r="A232" s="13"/>
      <c r="B232" s="10"/>
      <c r="C232" s="10"/>
      <c r="D232" s="10"/>
      <c r="E232" s="52"/>
      <c r="F232" s="52"/>
      <c r="G232" s="52"/>
      <c r="H232" s="52"/>
      <c r="I232" s="52"/>
      <c r="J232" s="52"/>
      <c r="K232" s="52"/>
      <c r="L232" s="52"/>
      <c r="M232" s="52"/>
      <c r="N232" s="52"/>
      <c r="O232" s="52"/>
      <c r="P232" s="52"/>
      <c r="Q232" s="52"/>
      <c r="R232" s="52"/>
      <c r="S232" s="52"/>
      <c r="T232" s="17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1:40" ht="60" customHeight="1" x14ac:dyDescent="0.35">
      <c r="A233" s="14"/>
      <c r="B233" s="11"/>
      <c r="C233" s="11"/>
      <c r="D233" s="11"/>
      <c r="E233" s="53"/>
      <c r="F233" s="53"/>
      <c r="G233" s="53"/>
      <c r="H233" s="53"/>
      <c r="I233" s="53"/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17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1:40" ht="60" customHeight="1" x14ac:dyDescent="0.35">
      <c r="A234" s="13"/>
      <c r="B234" s="10"/>
      <c r="C234" s="10"/>
      <c r="D234" s="10"/>
      <c r="E234" s="52"/>
      <c r="F234" s="52"/>
      <c r="G234" s="52"/>
      <c r="H234" s="52"/>
      <c r="I234" s="52"/>
      <c r="J234" s="52"/>
      <c r="K234" s="52"/>
      <c r="L234" s="52"/>
      <c r="M234" s="52"/>
      <c r="N234" s="52"/>
      <c r="O234" s="52"/>
      <c r="P234" s="52"/>
      <c r="Q234" s="52"/>
      <c r="R234" s="52"/>
      <c r="S234" s="52"/>
      <c r="T234" s="17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1:40" ht="60" customHeight="1" x14ac:dyDescent="0.35">
      <c r="A235" s="14"/>
      <c r="B235" s="11"/>
      <c r="C235" s="11"/>
      <c r="D235" s="11"/>
      <c r="E235" s="53"/>
      <c r="F235" s="53"/>
      <c r="G235" s="53"/>
      <c r="H235" s="53"/>
      <c r="I235" s="53"/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17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1:40" ht="60" customHeight="1" x14ac:dyDescent="0.35">
      <c r="A236" s="13"/>
      <c r="B236" s="10"/>
      <c r="C236" s="10"/>
      <c r="D236" s="10"/>
      <c r="E236" s="52"/>
      <c r="F236" s="52"/>
      <c r="G236" s="52"/>
      <c r="H236" s="52"/>
      <c r="I236" s="52"/>
      <c r="J236" s="52"/>
      <c r="K236" s="52"/>
      <c r="L236" s="52"/>
      <c r="M236" s="52"/>
      <c r="N236" s="52"/>
      <c r="O236" s="52"/>
      <c r="P236" s="52"/>
      <c r="Q236" s="52"/>
      <c r="R236" s="52"/>
      <c r="S236" s="52"/>
      <c r="T236" s="17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1:40" ht="60" customHeight="1" x14ac:dyDescent="0.35">
      <c r="A237" s="14"/>
      <c r="B237" s="11"/>
      <c r="C237" s="11"/>
      <c r="D237" s="11"/>
      <c r="E237" s="53"/>
      <c r="F237" s="53"/>
      <c r="G237" s="53"/>
      <c r="H237" s="53"/>
      <c r="I237" s="53"/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17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1:40" ht="60" customHeight="1" x14ac:dyDescent="0.35">
      <c r="A238" s="13"/>
      <c r="B238" s="10"/>
      <c r="C238" s="10"/>
      <c r="D238" s="10"/>
      <c r="E238" s="52"/>
      <c r="F238" s="52"/>
      <c r="G238" s="52"/>
      <c r="H238" s="52"/>
      <c r="I238" s="52"/>
      <c r="J238" s="52"/>
      <c r="K238" s="52"/>
      <c r="L238" s="52"/>
      <c r="M238" s="52"/>
      <c r="N238" s="52"/>
      <c r="O238" s="52"/>
      <c r="P238" s="52"/>
      <c r="Q238" s="52"/>
      <c r="R238" s="52"/>
      <c r="S238" s="52"/>
      <c r="T238" s="17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1:40" ht="60" customHeight="1" x14ac:dyDescent="0.35">
      <c r="A239" s="14"/>
      <c r="B239" s="11"/>
      <c r="C239" s="11"/>
      <c r="D239" s="11"/>
      <c r="E239" s="53"/>
      <c r="F239" s="53"/>
      <c r="G239" s="53"/>
      <c r="H239" s="53"/>
      <c r="I239" s="53"/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17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1:40" ht="60" customHeight="1" x14ac:dyDescent="0.35">
      <c r="A240" s="13"/>
      <c r="B240" s="10"/>
      <c r="C240" s="10"/>
      <c r="D240" s="10"/>
      <c r="E240" s="52"/>
      <c r="F240" s="52"/>
      <c r="G240" s="52"/>
      <c r="H240" s="52"/>
      <c r="I240" s="52"/>
      <c r="J240" s="52"/>
      <c r="K240" s="52"/>
      <c r="L240" s="52"/>
      <c r="M240" s="52"/>
      <c r="N240" s="52"/>
      <c r="O240" s="52"/>
      <c r="P240" s="52"/>
      <c r="Q240" s="52"/>
      <c r="R240" s="52"/>
      <c r="S240" s="52"/>
      <c r="T240" s="17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1:40" ht="60" customHeight="1" x14ac:dyDescent="0.35">
      <c r="A241" s="14"/>
      <c r="B241" s="11"/>
      <c r="C241" s="11"/>
      <c r="D241" s="11"/>
      <c r="E241" s="53"/>
      <c r="F241" s="53"/>
      <c r="G241" s="53"/>
      <c r="H241" s="53"/>
      <c r="I241" s="53"/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17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1:40" ht="60" customHeight="1" x14ac:dyDescent="0.35">
      <c r="A242" s="13"/>
      <c r="B242" s="10"/>
      <c r="C242" s="10"/>
      <c r="D242" s="10"/>
      <c r="E242" s="52"/>
      <c r="F242" s="52"/>
      <c r="G242" s="52"/>
      <c r="H242" s="52"/>
      <c r="I242" s="52"/>
      <c r="J242" s="52"/>
      <c r="K242" s="52"/>
      <c r="L242" s="52"/>
      <c r="M242" s="52"/>
      <c r="N242" s="52"/>
      <c r="O242" s="52"/>
      <c r="P242" s="52"/>
      <c r="Q242" s="52"/>
      <c r="R242" s="52"/>
      <c r="S242" s="52"/>
      <c r="T242" s="17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1:40" ht="60" customHeight="1" x14ac:dyDescent="0.35">
      <c r="A243" s="14"/>
      <c r="B243" s="11"/>
      <c r="C243" s="11"/>
      <c r="D243" s="11"/>
      <c r="E243" s="53"/>
      <c r="F243" s="53"/>
      <c r="G243" s="53"/>
      <c r="H243" s="53"/>
      <c r="I243" s="53"/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17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1:40" ht="60" customHeight="1" x14ac:dyDescent="0.35">
      <c r="A244" s="13"/>
      <c r="B244" s="10"/>
      <c r="C244" s="10"/>
      <c r="D244" s="10"/>
      <c r="E244" s="52"/>
      <c r="F244" s="52"/>
      <c r="G244" s="52"/>
      <c r="H244" s="52"/>
      <c r="I244" s="52"/>
      <c r="J244" s="52"/>
      <c r="K244" s="52"/>
      <c r="L244" s="52"/>
      <c r="M244" s="52"/>
      <c r="N244" s="52"/>
      <c r="O244" s="52"/>
      <c r="P244" s="52"/>
      <c r="Q244" s="52"/>
      <c r="R244" s="52"/>
      <c r="S244" s="52"/>
      <c r="T244" s="17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1:40" ht="60" customHeight="1" x14ac:dyDescent="0.35">
      <c r="A245" s="14"/>
      <c r="B245" s="11"/>
      <c r="C245" s="11"/>
      <c r="D245" s="11"/>
      <c r="E245" s="53"/>
      <c r="F245" s="53"/>
      <c r="G245" s="53"/>
      <c r="H245" s="53"/>
      <c r="I245" s="53"/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17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1:40" ht="60" customHeight="1" x14ac:dyDescent="0.35">
      <c r="A246" s="13"/>
      <c r="B246" s="10"/>
      <c r="C246" s="10"/>
      <c r="D246" s="10"/>
      <c r="E246" s="52"/>
      <c r="F246" s="52"/>
      <c r="G246" s="52"/>
      <c r="H246" s="52"/>
      <c r="I246" s="52"/>
      <c r="J246" s="52"/>
      <c r="K246" s="52"/>
      <c r="L246" s="52"/>
      <c r="M246" s="52"/>
      <c r="N246" s="52"/>
      <c r="O246" s="52"/>
      <c r="P246" s="52"/>
      <c r="Q246" s="52"/>
      <c r="R246" s="52"/>
      <c r="S246" s="52"/>
      <c r="T246" s="17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1:40" ht="60" customHeight="1" x14ac:dyDescent="0.35">
      <c r="A247" s="14"/>
      <c r="B247" s="11"/>
      <c r="C247" s="11"/>
      <c r="D247" s="11"/>
      <c r="E247" s="53"/>
      <c r="F247" s="53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17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1:40" ht="60" customHeight="1" x14ac:dyDescent="0.35">
      <c r="A248" s="13"/>
      <c r="B248" s="10"/>
      <c r="C248" s="10"/>
      <c r="D248" s="10"/>
      <c r="E248" s="52"/>
      <c r="F248" s="52"/>
      <c r="G248" s="52"/>
      <c r="H248" s="52"/>
      <c r="I248" s="52"/>
      <c r="J248" s="52"/>
      <c r="K248" s="52"/>
      <c r="L248" s="52"/>
      <c r="M248" s="52"/>
      <c r="N248" s="52"/>
      <c r="O248" s="52"/>
      <c r="P248" s="52"/>
      <c r="Q248" s="52"/>
      <c r="R248" s="52"/>
      <c r="S248" s="52"/>
      <c r="T248" s="17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1:40" ht="60" customHeight="1" x14ac:dyDescent="0.35">
      <c r="A249" s="14"/>
      <c r="B249" s="11"/>
      <c r="C249" s="11"/>
      <c r="D249" s="11"/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17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1:40" ht="60" customHeight="1" x14ac:dyDescent="0.35">
      <c r="A250" s="13"/>
      <c r="B250" s="10"/>
      <c r="C250" s="10"/>
      <c r="D250" s="10"/>
      <c r="E250" s="52"/>
      <c r="F250" s="52"/>
      <c r="G250" s="52"/>
      <c r="H250" s="52"/>
      <c r="I250" s="52"/>
      <c r="J250" s="52"/>
      <c r="K250" s="52"/>
      <c r="L250" s="52"/>
      <c r="M250" s="52"/>
      <c r="N250" s="52"/>
      <c r="O250" s="52"/>
      <c r="P250" s="52"/>
      <c r="Q250" s="52"/>
      <c r="R250" s="52"/>
      <c r="S250" s="52"/>
      <c r="T250" s="17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</row>
    <row r="251" spans="1:40" ht="60" customHeight="1" x14ac:dyDescent="0.35">
      <c r="A251" s="14"/>
      <c r="B251" s="11"/>
      <c r="C251" s="11"/>
      <c r="D251" s="11"/>
      <c r="E251" s="53"/>
      <c r="F251" s="53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17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</row>
    <row r="252" spans="1:40" ht="60" customHeight="1" x14ac:dyDescent="0.35">
      <c r="A252" s="13"/>
      <c r="B252" s="10"/>
      <c r="C252" s="10"/>
      <c r="D252" s="10"/>
      <c r="E252" s="52"/>
      <c r="F252" s="52"/>
      <c r="G252" s="52"/>
      <c r="H252" s="52"/>
      <c r="I252" s="52"/>
      <c r="J252" s="52"/>
      <c r="K252" s="52"/>
      <c r="L252" s="52"/>
      <c r="M252" s="52"/>
      <c r="N252" s="52"/>
      <c r="O252" s="52"/>
      <c r="P252" s="52"/>
      <c r="Q252" s="52"/>
      <c r="R252" s="52"/>
      <c r="S252" s="52"/>
      <c r="T252" s="17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</row>
    <row r="253" spans="1:40" ht="60" customHeight="1" x14ac:dyDescent="0.35">
      <c r="A253" s="14"/>
      <c r="B253" s="11"/>
      <c r="C253" s="11"/>
      <c r="D253" s="11"/>
      <c r="E253" s="53"/>
      <c r="F253" s="53"/>
      <c r="G253" s="53"/>
      <c r="H253" s="53"/>
      <c r="I253" s="53"/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17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</row>
    <row r="254" spans="1:40" ht="60" customHeight="1" x14ac:dyDescent="0.35">
      <c r="A254" s="13"/>
      <c r="B254" s="10"/>
      <c r="C254" s="10"/>
      <c r="D254" s="10"/>
      <c r="E254" s="52"/>
      <c r="F254" s="52"/>
      <c r="G254" s="52"/>
      <c r="H254" s="52"/>
      <c r="I254" s="52"/>
      <c r="J254" s="52"/>
      <c r="K254" s="52"/>
      <c r="L254" s="52"/>
      <c r="M254" s="52"/>
      <c r="N254" s="52"/>
      <c r="O254" s="52"/>
      <c r="P254" s="52"/>
      <c r="Q254" s="52"/>
      <c r="R254" s="52"/>
      <c r="S254" s="52"/>
      <c r="T254" s="17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</row>
    <row r="255" spans="1:40" ht="60" customHeight="1" x14ac:dyDescent="0.35">
      <c r="A255" s="14"/>
      <c r="B255" s="11"/>
      <c r="C255" s="11"/>
      <c r="D255" s="11"/>
      <c r="E255" s="53"/>
      <c r="F255" s="53"/>
      <c r="G255" s="53"/>
      <c r="H255" s="53"/>
      <c r="I255" s="53"/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17"/>
      <c r="U255" s="5" t="s">
        <v>12</v>
      </c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</row>
    <row r="256" spans="1:40" ht="60" customHeight="1" x14ac:dyDescent="0.35">
      <c r="A256" s="13"/>
      <c r="B256" s="10"/>
      <c r="C256" s="10"/>
      <c r="D256" s="10"/>
      <c r="E256" s="52"/>
      <c r="F256" s="52"/>
      <c r="G256" s="52"/>
      <c r="H256" s="52"/>
      <c r="I256" s="52"/>
      <c r="J256" s="52"/>
      <c r="K256" s="52"/>
      <c r="L256" s="52"/>
      <c r="M256" s="52"/>
      <c r="N256" s="52"/>
      <c r="O256" s="52"/>
      <c r="P256" s="52"/>
      <c r="Q256" s="52"/>
      <c r="R256" s="52"/>
      <c r="S256" s="52"/>
      <c r="T256" s="17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</row>
    <row r="257" spans="1:40" ht="60" customHeight="1" x14ac:dyDescent="0.35">
      <c r="A257" s="14"/>
      <c r="B257" s="11"/>
      <c r="C257" s="11"/>
      <c r="D257" s="11"/>
      <c r="E257" s="53"/>
      <c r="F257" s="53"/>
      <c r="G257" s="53"/>
      <c r="H257" s="53"/>
      <c r="I257" s="53"/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17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</row>
    <row r="258" spans="1:40" ht="60" customHeight="1" x14ac:dyDescent="0.35">
      <c r="A258" s="13"/>
      <c r="B258" s="10"/>
      <c r="C258" s="10"/>
      <c r="D258" s="10"/>
      <c r="E258" s="52"/>
      <c r="F258" s="52"/>
      <c r="G258" s="52"/>
      <c r="H258" s="52"/>
      <c r="I258" s="52"/>
      <c r="J258" s="52"/>
      <c r="K258" s="52"/>
      <c r="L258" s="52"/>
      <c r="M258" s="52"/>
      <c r="N258" s="52"/>
      <c r="O258" s="52"/>
      <c r="P258" s="52"/>
      <c r="Q258" s="52"/>
      <c r="R258" s="52"/>
      <c r="S258" s="52"/>
      <c r="T258" s="17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</row>
    <row r="259" spans="1:40" ht="60" customHeight="1" x14ac:dyDescent="0.35">
      <c r="A259" s="14"/>
      <c r="B259" s="11"/>
      <c r="C259" s="11"/>
      <c r="D259" s="11"/>
      <c r="E259" s="53"/>
      <c r="F259" s="53"/>
      <c r="G259" s="53"/>
      <c r="H259" s="53"/>
      <c r="I259" s="53"/>
      <c r="J259" s="53"/>
      <c r="K259" s="53"/>
      <c r="L259" s="53"/>
      <c r="M259" s="53"/>
      <c r="N259" s="53"/>
      <c r="O259" s="53"/>
      <c r="P259" s="53"/>
      <c r="Q259" s="53"/>
      <c r="R259" s="53"/>
      <c r="S259" s="53"/>
      <c r="T259" s="17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1:40" ht="60" customHeight="1" x14ac:dyDescent="0.35">
      <c r="A260" s="13"/>
      <c r="B260" s="10"/>
      <c r="C260" s="10"/>
      <c r="D260" s="10"/>
      <c r="E260" s="52"/>
      <c r="F260" s="52"/>
      <c r="G260" s="52"/>
      <c r="H260" s="52"/>
      <c r="I260" s="52"/>
      <c r="J260" s="52"/>
      <c r="K260" s="52"/>
      <c r="L260" s="52"/>
      <c r="M260" s="52"/>
      <c r="N260" s="52"/>
      <c r="O260" s="52"/>
      <c r="P260" s="52"/>
      <c r="Q260" s="52"/>
      <c r="R260" s="52"/>
      <c r="S260" s="52"/>
      <c r="T260" s="17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1:40" ht="60" customHeight="1" x14ac:dyDescent="0.35">
      <c r="A261" s="14"/>
      <c r="B261" s="11"/>
      <c r="C261" s="11"/>
      <c r="D261" s="11"/>
      <c r="E261" s="53"/>
      <c r="F261" s="53"/>
      <c r="G261" s="53"/>
      <c r="H261" s="53"/>
      <c r="I261" s="53"/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17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1:40" ht="60" customHeight="1" x14ac:dyDescent="0.35">
      <c r="A262" s="13"/>
      <c r="B262" s="10"/>
      <c r="C262" s="10"/>
      <c r="D262" s="10"/>
      <c r="E262" s="52"/>
      <c r="F262" s="52"/>
      <c r="G262" s="52"/>
      <c r="H262" s="52"/>
      <c r="I262" s="52"/>
      <c r="J262" s="52"/>
      <c r="K262" s="52"/>
      <c r="L262" s="52"/>
      <c r="M262" s="52"/>
      <c r="N262" s="52"/>
      <c r="O262" s="52"/>
      <c r="P262" s="52"/>
      <c r="Q262" s="52"/>
      <c r="R262" s="52"/>
      <c r="S262" s="52"/>
      <c r="T262" s="17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1:40" ht="60" customHeight="1" x14ac:dyDescent="0.35">
      <c r="A263" s="14"/>
      <c r="B263" s="11"/>
      <c r="C263" s="11"/>
      <c r="D263" s="11"/>
      <c r="E263" s="53"/>
      <c r="F263" s="53"/>
      <c r="G263" s="53"/>
      <c r="H263" s="53"/>
      <c r="I263" s="53"/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17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1:40" ht="60" customHeight="1" x14ac:dyDescent="0.35">
      <c r="A264" s="13"/>
      <c r="B264" s="10"/>
      <c r="C264" s="10"/>
      <c r="D264" s="10"/>
      <c r="E264" s="52"/>
      <c r="F264" s="52"/>
      <c r="G264" s="52"/>
      <c r="H264" s="52"/>
      <c r="I264" s="52"/>
      <c r="J264" s="52"/>
      <c r="K264" s="52"/>
      <c r="L264" s="52"/>
      <c r="M264" s="52"/>
      <c r="N264" s="52"/>
      <c r="O264" s="52"/>
      <c r="P264" s="52"/>
      <c r="Q264" s="52"/>
      <c r="R264" s="52"/>
      <c r="S264" s="52"/>
      <c r="T264" s="17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1:40" ht="60" customHeight="1" x14ac:dyDescent="0.35">
      <c r="A265" s="14"/>
      <c r="B265" s="11"/>
      <c r="C265" s="11"/>
      <c r="D265" s="11"/>
      <c r="E265" s="53"/>
      <c r="F265" s="53"/>
      <c r="G265" s="53"/>
      <c r="H265" s="53"/>
      <c r="I265" s="53"/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17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1:40" ht="60" customHeight="1" x14ac:dyDescent="0.35">
      <c r="A266" s="13"/>
      <c r="B266" s="10"/>
      <c r="C266" s="10"/>
      <c r="D266" s="10"/>
      <c r="E266" s="52"/>
      <c r="F266" s="52"/>
      <c r="G266" s="52"/>
      <c r="H266" s="52"/>
      <c r="I266" s="52"/>
      <c r="J266" s="52"/>
      <c r="K266" s="52"/>
      <c r="L266" s="52"/>
      <c r="M266" s="52"/>
      <c r="N266" s="52"/>
      <c r="O266" s="52"/>
      <c r="P266" s="52"/>
      <c r="Q266" s="52"/>
      <c r="R266" s="52"/>
      <c r="S266" s="52"/>
      <c r="T266" s="17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1:40" ht="60" customHeight="1" x14ac:dyDescent="0.35">
      <c r="A267" s="14"/>
      <c r="B267" s="11"/>
      <c r="C267" s="11"/>
      <c r="D267" s="11"/>
      <c r="E267" s="53"/>
      <c r="F267" s="53"/>
      <c r="G267" s="53"/>
      <c r="H267" s="53"/>
      <c r="I267" s="53"/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17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1:40" ht="60" customHeight="1" x14ac:dyDescent="0.35">
      <c r="A268" s="13"/>
      <c r="B268" s="10"/>
      <c r="C268" s="10"/>
      <c r="D268" s="10"/>
      <c r="E268" s="52"/>
      <c r="F268" s="52"/>
      <c r="G268" s="52"/>
      <c r="H268" s="52"/>
      <c r="I268" s="52"/>
      <c r="J268" s="52"/>
      <c r="K268" s="52"/>
      <c r="L268" s="52"/>
      <c r="M268" s="52"/>
      <c r="N268" s="52"/>
      <c r="O268" s="52"/>
      <c r="P268" s="52"/>
      <c r="Q268" s="52"/>
      <c r="R268" s="52"/>
      <c r="S268" s="52"/>
      <c r="T268" s="17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1:40" ht="60" customHeight="1" x14ac:dyDescent="0.35">
      <c r="A269" s="14"/>
      <c r="B269" s="11"/>
      <c r="C269" s="11"/>
      <c r="D269" s="11"/>
      <c r="E269" s="53"/>
      <c r="F269" s="53"/>
      <c r="G269" s="53"/>
      <c r="H269" s="53"/>
      <c r="I269" s="53"/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17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1:40" ht="60" customHeight="1" x14ac:dyDescent="0.35">
      <c r="A270" s="13"/>
      <c r="B270" s="10"/>
      <c r="C270" s="10"/>
      <c r="D270" s="10"/>
      <c r="E270" s="52"/>
      <c r="F270" s="52"/>
      <c r="G270" s="52"/>
      <c r="H270" s="52"/>
      <c r="I270" s="52"/>
      <c r="J270" s="52"/>
      <c r="K270" s="52"/>
      <c r="L270" s="52"/>
      <c r="M270" s="52"/>
      <c r="N270" s="52"/>
      <c r="O270" s="52"/>
      <c r="P270" s="52"/>
      <c r="Q270" s="52"/>
      <c r="R270" s="52"/>
      <c r="S270" s="52"/>
      <c r="T270" s="17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1:40" ht="60" customHeight="1" x14ac:dyDescent="0.35">
      <c r="A271" s="14"/>
      <c r="B271" s="11"/>
      <c r="C271" s="11"/>
      <c r="D271" s="11"/>
      <c r="E271" s="53"/>
      <c r="F271" s="53"/>
      <c r="G271" s="53"/>
      <c r="H271" s="53"/>
      <c r="I271" s="53"/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17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1:40" ht="60" customHeight="1" x14ac:dyDescent="0.35">
      <c r="A272" s="13"/>
      <c r="B272" s="10"/>
      <c r="C272" s="10"/>
      <c r="D272" s="10"/>
      <c r="E272" s="52"/>
      <c r="F272" s="52"/>
      <c r="G272" s="52"/>
      <c r="H272" s="52"/>
      <c r="I272" s="52"/>
      <c r="J272" s="52"/>
      <c r="K272" s="52"/>
      <c r="L272" s="52"/>
      <c r="M272" s="52"/>
      <c r="N272" s="52"/>
      <c r="O272" s="52"/>
      <c r="P272" s="52"/>
      <c r="Q272" s="52"/>
      <c r="R272" s="52"/>
      <c r="S272" s="52"/>
      <c r="T272" s="17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1:40" ht="60" customHeight="1" x14ac:dyDescent="0.35">
      <c r="A273" s="14"/>
      <c r="B273" s="11"/>
      <c r="C273" s="11"/>
      <c r="D273" s="11"/>
      <c r="E273" s="53"/>
      <c r="F273" s="53"/>
      <c r="G273" s="53"/>
      <c r="H273" s="53"/>
      <c r="I273" s="53"/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17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1:40" ht="60" customHeight="1" x14ac:dyDescent="0.35">
      <c r="A274" s="13"/>
      <c r="B274" s="10"/>
      <c r="C274" s="10"/>
      <c r="D274" s="10"/>
      <c r="E274" s="52"/>
      <c r="F274" s="52"/>
      <c r="G274" s="52"/>
      <c r="H274" s="52"/>
      <c r="I274" s="52"/>
      <c r="J274" s="52"/>
      <c r="K274" s="52"/>
      <c r="L274" s="52"/>
      <c r="M274" s="52"/>
      <c r="N274" s="52"/>
      <c r="O274" s="52"/>
      <c r="P274" s="52"/>
      <c r="Q274" s="52"/>
      <c r="R274" s="52"/>
      <c r="S274" s="52"/>
      <c r="T274" s="17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1:40" ht="60" customHeight="1" x14ac:dyDescent="0.35">
      <c r="A275" s="14"/>
      <c r="B275" s="11"/>
      <c r="C275" s="11"/>
      <c r="D275" s="11"/>
      <c r="E275" s="53"/>
      <c r="F275" s="53"/>
      <c r="G275" s="53"/>
      <c r="H275" s="53"/>
      <c r="I275" s="53"/>
      <c r="J275" s="53"/>
      <c r="K275" s="53"/>
      <c r="L275" s="53"/>
      <c r="M275" s="53"/>
      <c r="N275" s="53"/>
      <c r="O275" s="53"/>
      <c r="P275" s="53"/>
      <c r="Q275" s="53"/>
      <c r="R275" s="53"/>
      <c r="S275" s="53"/>
      <c r="T275" s="17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1:40" ht="60" customHeight="1" x14ac:dyDescent="0.35">
      <c r="A276" s="13"/>
      <c r="B276" s="10"/>
      <c r="C276" s="10"/>
      <c r="D276" s="10"/>
      <c r="E276" s="52"/>
      <c r="F276" s="52"/>
      <c r="G276" s="52"/>
      <c r="H276" s="52"/>
      <c r="I276" s="52"/>
      <c r="J276" s="52"/>
      <c r="K276" s="52"/>
      <c r="L276" s="52"/>
      <c r="M276" s="52"/>
      <c r="N276" s="52"/>
      <c r="O276" s="52"/>
      <c r="P276" s="52"/>
      <c r="Q276" s="52"/>
      <c r="R276" s="52"/>
      <c r="S276" s="52"/>
      <c r="T276" s="17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1:40" ht="60" customHeight="1" x14ac:dyDescent="0.35">
      <c r="A277" s="14"/>
      <c r="B277" s="11"/>
      <c r="C277" s="11"/>
      <c r="D277" s="11"/>
      <c r="E277" s="53"/>
      <c r="F277" s="53"/>
      <c r="G277" s="53"/>
      <c r="H277" s="53"/>
      <c r="I277" s="53"/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17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1:40" ht="60" customHeight="1" x14ac:dyDescent="0.35">
      <c r="A278" s="13"/>
      <c r="B278" s="10"/>
      <c r="C278" s="10"/>
      <c r="D278" s="10"/>
      <c r="E278" s="52"/>
      <c r="F278" s="52"/>
      <c r="G278" s="52"/>
      <c r="H278" s="52"/>
      <c r="I278" s="52"/>
      <c r="J278" s="52"/>
      <c r="K278" s="52"/>
      <c r="L278" s="52"/>
      <c r="M278" s="52"/>
      <c r="N278" s="52"/>
      <c r="O278" s="52"/>
      <c r="P278" s="52"/>
      <c r="Q278" s="52"/>
      <c r="R278" s="52"/>
      <c r="S278" s="52"/>
      <c r="T278" s="17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</row>
    <row r="279" spans="1:40" ht="60" customHeight="1" x14ac:dyDescent="0.35">
      <c r="A279" s="14"/>
      <c r="B279" s="1"/>
      <c r="C279" s="1"/>
      <c r="D279" s="1"/>
      <c r="E279" s="50"/>
      <c r="F279" s="50"/>
      <c r="G279" s="50"/>
      <c r="H279" s="50"/>
      <c r="I279" s="50"/>
      <c r="J279" s="50"/>
      <c r="K279" s="50"/>
      <c r="L279" s="50"/>
      <c r="M279" s="50"/>
      <c r="N279" s="50"/>
      <c r="O279" s="50"/>
      <c r="P279" s="50"/>
      <c r="Q279" s="50"/>
      <c r="R279" s="50"/>
      <c r="S279" s="50"/>
      <c r="T279" s="17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</row>
    <row r="280" spans="1:40" ht="60" customHeight="1" x14ac:dyDescent="0.35">
      <c r="A280" s="13"/>
      <c r="B280" s="10"/>
      <c r="C280" s="10"/>
      <c r="D280" s="10"/>
      <c r="E280" s="52"/>
      <c r="F280" s="52"/>
      <c r="G280" s="52"/>
      <c r="H280" s="52"/>
      <c r="I280" s="52"/>
      <c r="J280" s="52"/>
      <c r="K280" s="52"/>
      <c r="L280" s="52"/>
      <c r="M280" s="52"/>
      <c r="N280" s="52"/>
      <c r="O280" s="52"/>
      <c r="P280" s="52"/>
      <c r="Q280" s="52"/>
      <c r="R280" s="52"/>
      <c r="S280" s="52"/>
      <c r="T280" s="17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</row>
    <row r="281" spans="1:40" ht="60" customHeight="1" x14ac:dyDescent="0.35">
      <c r="A281" s="14"/>
      <c r="B281" s="11"/>
      <c r="C281" s="11"/>
      <c r="D281" s="11"/>
      <c r="E281" s="53"/>
      <c r="F281" s="53"/>
      <c r="G281" s="53"/>
      <c r="H281" s="53"/>
      <c r="I281" s="53"/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17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</row>
    <row r="282" spans="1:40" ht="60" customHeight="1" x14ac:dyDescent="0.35">
      <c r="A282" s="13"/>
      <c r="B282" s="10"/>
      <c r="C282" s="10"/>
      <c r="D282" s="10"/>
      <c r="E282" s="52"/>
      <c r="F282" s="52"/>
      <c r="G282" s="52"/>
      <c r="H282" s="52"/>
      <c r="I282" s="52"/>
      <c r="J282" s="52"/>
      <c r="K282" s="52"/>
      <c r="L282" s="52"/>
      <c r="M282" s="52"/>
      <c r="N282" s="52"/>
      <c r="O282" s="52"/>
      <c r="P282" s="52"/>
      <c r="Q282" s="52"/>
      <c r="R282" s="52"/>
      <c r="S282" s="52"/>
      <c r="T282" s="17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</row>
    <row r="283" spans="1:40" ht="60" customHeight="1" x14ac:dyDescent="0.35">
      <c r="A283" s="14"/>
      <c r="B283" s="11"/>
      <c r="C283" s="11"/>
      <c r="D283" s="11"/>
      <c r="E283" s="53"/>
      <c r="F283" s="53"/>
      <c r="G283" s="53"/>
      <c r="H283" s="53"/>
      <c r="I283" s="53"/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17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</row>
    <row r="284" spans="1:40" ht="60" customHeight="1" x14ac:dyDescent="0.35">
      <c r="A284" s="13"/>
      <c r="B284" s="10"/>
      <c r="C284" s="10"/>
      <c r="D284" s="10"/>
      <c r="E284" s="52"/>
      <c r="F284" s="52"/>
      <c r="G284" s="52"/>
      <c r="H284" s="52"/>
      <c r="I284" s="52"/>
      <c r="J284" s="52"/>
      <c r="K284" s="52"/>
      <c r="L284" s="52"/>
      <c r="M284" s="52"/>
      <c r="N284" s="52"/>
      <c r="O284" s="52"/>
      <c r="P284" s="52"/>
      <c r="Q284" s="52"/>
      <c r="R284" s="52"/>
      <c r="S284" s="52"/>
      <c r="T284" s="17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</row>
    <row r="285" spans="1:40" ht="60" customHeight="1" x14ac:dyDescent="0.35">
      <c r="A285" s="14"/>
      <c r="B285" s="11"/>
      <c r="C285" s="11"/>
      <c r="D285" s="11"/>
      <c r="E285" s="53"/>
      <c r="F285" s="53"/>
      <c r="G285" s="53"/>
      <c r="H285" s="53"/>
      <c r="I285" s="53"/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17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</row>
    <row r="286" spans="1:40" ht="60" customHeight="1" x14ac:dyDescent="0.35">
      <c r="A286" s="13"/>
      <c r="B286" s="10"/>
      <c r="C286" s="10"/>
      <c r="D286" s="10"/>
      <c r="E286" s="52"/>
      <c r="F286" s="52"/>
      <c r="G286" s="52"/>
      <c r="H286" s="52"/>
      <c r="I286" s="52"/>
      <c r="J286" s="52"/>
      <c r="K286" s="52"/>
      <c r="L286" s="52"/>
      <c r="M286" s="52"/>
      <c r="N286" s="52"/>
      <c r="O286" s="52"/>
      <c r="P286" s="52"/>
      <c r="Q286" s="52"/>
      <c r="R286" s="52"/>
      <c r="S286" s="52"/>
      <c r="T286" s="17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</row>
    <row r="287" spans="1:40" ht="60" customHeight="1" x14ac:dyDescent="0.35">
      <c r="A287" s="14"/>
      <c r="B287" s="11"/>
      <c r="C287" s="11"/>
      <c r="D287" s="11"/>
      <c r="E287" s="53"/>
      <c r="F287" s="53"/>
      <c r="G287" s="53"/>
      <c r="H287" s="53"/>
      <c r="I287" s="53"/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17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1:40" ht="60" customHeight="1" x14ac:dyDescent="0.35">
      <c r="A288" s="13"/>
      <c r="B288" s="10"/>
      <c r="C288" s="10"/>
      <c r="D288" s="10"/>
      <c r="E288" s="52"/>
      <c r="F288" s="52"/>
      <c r="G288" s="52"/>
      <c r="H288" s="52"/>
      <c r="I288" s="52"/>
      <c r="J288" s="52"/>
      <c r="K288" s="52"/>
      <c r="L288" s="52"/>
      <c r="M288" s="52"/>
      <c r="N288" s="52"/>
      <c r="O288" s="52"/>
      <c r="P288" s="52"/>
      <c r="Q288" s="52"/>
      <c r="R288" s="52"/>
      <c r="S288" s="52"/>
      <c r="T288" s="17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1:40" ht="60" customHeight="1" x14ac:dyDescent="0.35">
      <c r="A289" s="14"/>
      <c r="B289" s="11"/>
      <c r="C289" s="11"/>
      <c r="D289" s="11"/>
      <c r="E289" s="53"/>
      <c r="F289" s="53"/>
      <c r="G289" s="53"/>
      <c r="H289" s="53"/>
      <c r="I289" s="53"/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17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1:40" ht="60" customHeight="1" x14ac:dyDescent="0.35">
      <c r="A290" s="13"/>
      <c r="B290" s="10"/>
      <c r="C290" s="10"/>
      <c r="D290" s="10"/>
      <c r="E290" s="52"/>
      <c r="F290" s="52"/>
      <c r="G290" s="52"/>
      <c r="H290" s="52"/>
      <c r="I290" s="52"/>
      <c r="J290" s="52"/>
      <c r="K290" s="52"/>
      <c r="L290" s="52"/>
      <c r="M290" s="52"/>
      <c r="N290" s="52"/>
      <c r="O290" s="52"/>
      <c r="P290" s="52"/>
      <c r="Q290" s="52"/>
      <c r="R290" s="52"/>
      <c r="S290" s="52"/>
      <c r="T290" s="17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1:40" ht="60" customHeight="1" x14ac:dyDescent="0.35">
      <c r="A291" s="14"/>
      <c r="B291" s="11"/>
      <c r="C291" s="11"/>
      <c r="D291" s="11"/>
      <c r="E291" s="53"/>
      <c r="F291" s="53"/>
      <c r="G291" s="53"/>
      <c r="H291" s="53"/>
      <c r="I291" s="53"/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17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1:40" ht="60" customHeight="1" x14ac:dyDescent="0.35">
      <c r="A292" s="13"/>
      <c r="B292" s="10"/>
      <c r="C292" s="10"/>
      <c r="D292" s="10"/>
      <c r="E292" s="52"/>
      <c r="F292" s="52"/>
      <c r="G292" s="52"/>
      <c r="H292" s="52"/>
      <c r="I292" s="52"/>
      <c r="J292" s="52"/>
      <c r="K292" s="52"/>
      <c r="L292" s="52"/>
      <c r="M292" s="52"/>
      <c r="N292" s="52"/>
      <c r="O292" s="52"/>
      <c r="P292" s="52"/>
      <c r="Q292" s="52"/>
      <c r="R292" s="52"/>
      <c r="S292" s="52"/>
      <c r="T292" s="17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1:40" ht="60" customHeight="1" x14ac:dyDescent="0.35">
      <c r="A293" s="14"/>
      <c r="B293" s="11"/>
      <c r="C293" s="11"/>
      <c r="D293" s="11"/>
      <c r="E293" s="53"/>
      <c r="F293" s="53"/>
      <c r="G293" s="53"/>
      <c r="H293" s="53"/>
      <c r="I293" s="53"/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17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1:40" ht="60" customHeight="1" x14ac:dyDescent="0.35">
      <c r="A294" s="13"/>
      <c r="B294" s="10"/>
      <c r="C294" s="10"/>
      <c r="D294" s="10"/>
      <c r="E294" s="52"/>
      <c r="F294" s="52"/>
      <c r="G294" s="52"/>
      <c r="H294" s="52"/>
      <c r="I294" s="52"/>
      <c r="J294" s="52"/>
      <c r="K294" s="52"/>
      <c r="L294" s="52"/>
      <c r="M294" s="52"/>
      <c r="N294" s="52"/>
      <c r="O294" s="52"/>
      <c r="P294" s="52"/>
      <c r="Q294" s="52"/>
      <c r="R294" s="52"/>
      <c r="S294" s="52"/>
      <c r="T294" s="17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1:40" ht="60" customHeight="1" x14ac:dyDescent="0.35">
      <c r="A295" s="14"/>
      <c r="B295" s="11"/>
      <c r="C295" s="11"/>
      <c r="D295" s="11"/>
      <c r="E295" s="53"/>
      <c r="F295" s="53"/>
      <c r="G295" s="53"/>
      <c r="H295" s="53"/>
      <c r="I295" s="53"/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17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1:40" ht="60" customHeight="1" x14ac:dyDescent="0.35">
      <c r="A296" s="13"/>
      <c r="B296" s="10"/>
      <c r="C296" s="10"/>
      <c r="D296" s="10"/>
      <c r="E296" s="52"/>
      <c r="F296" s="52"/>
      <c r="G296" s="52"/>
      <c r="H296" s="52"/>
      <c r="I296" s="52"/>
      <c r="J296" s="52"/>
      <c r="K296" s="52"/>
      <c r="L296" s="52"/>
      <c r="M296" s="52"/>
      <c r="N296" s="52"/>
      <c r="O296" s="52"/>
      <c r="P296" s="52"/>
      <c r="Q296" s="52"/>
      <c r="R296" s="52"/>
      <c r="S296" s="52"/>
      <c r="T296" s="17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1:40" ht="60" customHeight="1" x14ac:dyDescent="0.35">
      <c r="A297" s="14"/>
      <c r="B297" s="11"/>
      <c r="C297" s="11"/>
      <c r="D297" s="11"/>
      <c r="E297" s="53"/>
      <c r="F297" s="53"/>
      <c r="G297" s="53"/>
      <c r="H297" s="53"/>
      <c r="I297" s="53"/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17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1:40" ht="60" customHeight="1" x14ac:dyDescent="0.35">
      <c r="A298" s="13"/>
      <c r="B298" s="10"/>
      <c r="C298" s="10"/>
      <c r="D298" s="10"/>
      <c r="E298" s="52"/>
      <c r="F298" s="52"/>
      <c r="G298" s="52"/>
      <c r="H298" s="52"/>
      <c r="I298" s="52"/>
      <c r="J298" s="52"/>
      <c r="K298" s="52"/>
      <c r="L298" s="52"/>
      <c r="M298" s="52"/>
      <c r="N298" s="52"/>
      <c r="O298" s="52"/>
      <c r="P298" s="52"/>
      <c r="Q298" s="52"/>
      <c r="R298" s="52"/>
      <c r="S298" s="52"/>
      <c r="T298" s="17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1:40" ht="60" customHeight="1" x14ac:dyDescent="0.35">
      <c r="A299" s="14"/>
      <c r="B299" s="11"/>
      <c r="C299" s="11"/>
      <c r="D299" s="11"/>
      <c r="E299" s="53"/>
      <c r="F299" s="53"/>
      <c r="G299" s="53"/>
      <c r="H299" s="53"/>
      <c r="I299" s="53"/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17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1:40" ht="60" customHeight="1" x14ac:dyDescent="0.35">
      <c r="A300" s="13"/>
      <c r="B300" s="10"/>
      <c r="C300" s="10"/>
      <c r="D300" s="10"/>
      <c r="E300" s="52"/>
      <c r="F300" s="52"/>
      <c r="G300" s="52"/>
      <c r="H300" s="52"/>
      <c r="I300" s="52"/>
      <c r="J300" s="52"/>
      <c r="K300" s="52"/>
      <c r="L300" s="52"/>
      <c r="M300" s="52"/>
      <c r="N300" s="52"/>
      <c r="O300" s="52"/>
      <c r="P300" s="52"/>
      <c r="Q300" s="52"/>
      <c r="R300" s="52"/>
      <c r="S300" s="52"/>
      <c r="T300" s="17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1:40" ht="60" customHeight="1" x14ac:dyDescent="0.35">
      <c r="A301" s="14"/>
      <c r="B301" s="11"/>
      <c r="C301" s="11"/>
      <c r="D301" s="11"/>
      <c r="E301" s="53"/>
      <c r="F301" s="53"/>
      <c r="G301" s="53"/>
      <c r="H301" s="53"/>
      <c r="I301" s="53"/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17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1:40" ht="60" customHeight="1" x14ac:dyDescent="0.35">
      <c r="A302" s="13"/>
      <c r="B302" s="10"/>
      <c r="C302" s="10"/>
      <c r="D302" s="10"/>
      <c r="E302" s="52"/>
      <c r="F302" s="52"/>
      <c r="G302" s="52"/>
      <c r="H302" s="52"/>
      <c r="I302" s="52"/>
      <c r="J302" s="52"/>
      <c r="K302" s="52"/>
      <c r="L302" s="52"/>
      <c r="M302" s="52"/>
      <c r="N302" s="52"/>
      <c r="O302" s="52"/>
      <c r="P302" s="52"/>
      <c r="Q302" s="52"/>
      <c r="R302" s="52"/>
      <c r="S302" s="52"/>
      <c r="T302" s="17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1:40" ht="60" customHeight="1" x14ac:dyDescent="0.35">
      <c r="A303" s="14"/>
      <c r="B303" s="11"/>
      <c r="C303" s="11"/>
      <c r="D303" s="11"/>
      <c r="E303" s="53"/>
      <c r="F303" s="53"/>
      <c r="G303" s="53"/>
      <c r="H303" s="53"/>
      <c r="I303" s="53"/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17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1:40" ht="60" customHeight="1" x14ac:dyDescent="0.35">
      <c r="A304" s="13"/>
      <c r="B304" s="10"/>
      <c r="C304" s="10"/>
      <c r="D304" s="10"/>
      <c r="E304" s="52"/>
      <c r="F304" s="52"/>
      <c r="G304" s="52"/>
      <c r="H304" s="52"/>
      <c r="I304" s="52"/>
      <c r="J304" s="52"/>
      <c r="K304" s="52"/>
      <c r="L304" s="52"/>
      <c r="M304" s="52"/>
      <c r="N304" s="52"/>
      <c r="O304" s="52"/>
      <c r="P304" s="52"/>
      <c r="Q304" s="52"/>
      <c r="R304" s="52"/>
      <c r="S304" s="52"/>
      <c r="T304" s="17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1:40" ht="60" customHeight="1" x14ac:dyDescent="0.35">
      <c r="A305" s="14"/>
      <c r="B305" s="11"/>
      <c r="C305" s="11"/>
      <c r="D305" s="11"/>
      <c r="E305" s="53"/>
      <c r="F305" s="53"/>
      <c r="G305" s="53"/>
      <c r="H305" s="53"/>
      <c r="I305" s="53"/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17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1:40" ht="60" customHeight="1" x14ac:dyDescent="0.35">
      <c r="A306" s="13"/>
      <c r="B306" s="10"/>
      <c r="C306" s="10"/>
      <c r="D306" s="10"/>
      <c r="E306" s="52"/>
      <c r="F306" s="52"/>
      <c r="G306" s="52"/>
      <c r="H306" s="52"/>
      <c r="I306" s="52"/>
      <c r="J306" s="52"/>
      <c r="K306" s="52"/>
      <c r="L306" s="52"/>
      <c r="M306" s="52"/>
      <c r="N306" s="52"/>
      <c r="O306" s="52"/>
      <c r="P306" s="52"/>
      <c r="Q306" s="52"/>
      <c r="R306" s="52"/>
      <c r="S306" s="52"/>
      <c r="T306" s="17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1:40" ht="60" customHeight="1" x14ac:dyDescent="0.35">
      <c r="A307" s="14"/>
      <c r="B307" s="11"/>
      <c r="C307" s="11"/>
      <c r="D307" s="11"/>
      <c r="E307" s="53"/>
      <c r="F307" s="53"/>
      <c r="G307" s="53"/>
      <c r="H307" s="53"/>
      <c r="I307" s="53"/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17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1:40" ht="60" customHeight="1" x14ac:dyDescent="0.35">
      <c r="A308" s="13"/>
      <c r="B308" s="10"/>
      <c r="C308" s="10"/>
      <c r="D308" s="10"/>
      <c r="E308" s="52"/>
      <c r="F308" s="52"/>
      <c r="G308" s="52"/>
      <c r="H308" s="52"/>
      <c r="I308" s="52"/>
      <c r="J308" s="52"/>
      <c r="K308" s="52"/>
      <c r="L308" s="52"/>
      <c r="M308" s="52"/>
      <c r="N308" s="52"/>
      <c r="O308" s="52"/>
      <c r="P308" s="52"/>
      <c r="Q308" s="52"/>
      <c r="R308" s="52"/>
      <c r="S308" s="52"/>
      <c r="T308" s="17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1:40" ht="60" customHeight="1" x14ac:dyDescent="0.35">
      <c r="A309" s="14"/>
      <c r="B309" s="11"/>
      <c r="C309" s="11"/>
      <c r="D309" s="11"/>
      <c r="E309" s="53"/>
      <c r="F309" s="53"/>
      <c r="G309" s="53"/>
      <c r="H309" s="53"/>
      <c r="I309" s="53"/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17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1:40" ht="60" customHeight="1" x14ac:dyDescent="0.35">
      <c r="A310" s="13"/>
      <c r="B310" s="10"/>
      <c r="C310" s="10"/>
      <c r="D310" s="10"/>
      <c r="E310" s="52"/>
      <c r="F310" s="52"/>
      <c r="G310" s="52"/>
      <c r="H310" s="52"/>
      <c r="I310" s="52"/>
      <c r="J310" s="52"/>
      <c r="K310" s="52"/>
      <c r="L310" s="52"/>
      <c r="M310" s="52"/>
      <c r="N310" s="52"/>
      <c r="O310" s="52"/>
      <c r="P310" s="52"/>
      <c r="Q310" s="52"/>
      <c r="R310" s="52"/>
      <c r="S310" s="52"/>
      <c r="T310" s="17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1:40" ht="60" customHeight="1" x14ac:dyDescent="0.35">
      <c r="A311" s="14"/>
      <c r="B311" s="11"/>
      <c r="C311" s="11"/>
      <c r="D311" s="11"/>
      <c r="E311" s="53"/>
      <c r="F311" s="53"/>
      <c r="G311" s="53"/>
      <c r="H311" s="53"/>
      <c r="I311" s="53"/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17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1:40" ht="60" customHeight="1" x14ac:dyDescent="0.35">
      <c r="A312" s="13"/>
      <c r="B312" s="10"/>
      <c r="C312" s="10"/>
      <c r="D312" s="10"/>
      <c r="E312" s="52"/>
      <c r="F312" s="52"/>
      <c r="G312" s="52"/>
      <c r="H312" s="52"/>
      <c r="I312" s="52"/>
      <c r="J312" s="52"/>
      <c r="K312" s="52"/>
      <c r="L312" s="52"/>
      <c r="M312" s="52"/>
      <c r="N312" s="52"/>
      <c r="O312" s="52"/>
      <c r="P312" s="52"/>
      <c r="Q312" s="52"/>
      <c r="R312" s="52"/>
      <c r="S312" s="52"/>
      <c r="T312" s="17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1:40" ht="60" customHeight="1" x14ac:dyDescent="0.35">
      <c r="A313" s="14"/>
      <c r="B313" s="11"/>
      <c r="C313" s="11"/>
      <c r="D313" s="11"/>
      <c r="E313" s="53"/>
      <c r="F313" s="53"/>
      <c r="G313" s="53"/>
      <c r="H313" s="53"/>
      <c r="I313" s="53"/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17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1:40" ht="60" customHeight="1" x14ac:dyDescent="0.35">
      <c r="A314" s="13"/>
      <c r="B314" s="10"/>
      <c r="C314" s="10"/>
      <c r="D314" s="10"/>
      <c r="E314" s="52"/>
      <c r="F314" s="52"/>
      <c r="G314" s="52"/>
      <c r="H314" s="52"/>
      <c r="I314" s="52"/>
      <c r="J314" s="52"/>
      <c r="K314" s="52"/>
      <c r="L314" s="52"/>
      <c r="M314" s="52"/>
      <c r="N314" s="52"/>
      <c r="O314" s="52"/>
      <c r="P314" s="52"/>
      <c r="Q314" s="52"/>
      <c r="R314" s="52"/>
      <c r="S314" s="52"/>
      <c r="T314" s="17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1:40" ht="60" customHeight="1" x14ac:dyDescent="0.35">
      <c r="A315" s="14"/>
      <c r="B315" s="11"/>
      <c r="C315" s="11"/>
      <c r="D315" s="11"/>
      <c r="E315" s="53"/>
      <c r="F315" s="53"/>
      <c r="G315" s="53"/>
      <c r="H315" s="53"/>
      <c r="I315" s="53"/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17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1:40" ht="60" customHeight="1" x14ac:dyDescent="0.35">
      <c r="A316" s="13"/>
      <c r="B316" s="10"/>
      <c r="C316" s="10"/>
      <c r="D316" s="10"/>
      <c r="E316" s="52"/>
      <c r="F316" s="52"/>
      <c r="G316" s="52"/>
      <c r="H316" s="52"/>
      <c r="I316" s="52"/>
      <c r="J316" s="52"/>
      <c r="K316" s="52"/>
      <c r="L316" s="52"/>
      <c r="M316" s="52"/>
      <c r="N316" s="52"/>
      <c r="O316" s="52"/>
      <c r="P316" s="52"/>
      <c r="Q316" s="52"/>
      <c r="R316" s="52"/>
      <c r="S316" s="52"/>
      <c r="T316" s="17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1:40" ht="60" customHeight="1" x14ac:dyDescent="0.35">
      <c r="A317" s="14"/>
      <c r="B317" s="11"/>
      <c r="C317" s="11"/>
      <c r="D317" s="11"/>
      <c r="E317" s="53"/>
      <c r="F317" s="53"/>
      <c r="G317" s="53"/>
      <c r="H317" s="53"/>
      <c r="I317" s="53"/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17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1:40" ht="60" customHeight="1" x14ac:dyDescent="0.35">
      <c r="A318" s="13"/>
      <c r="B318" s="10"/>
      <c r="C318" s="10"/>
      <c r="D318" s="10"/>
      <c r="E318" s="52"/>
      <c r="F318" s="52"/>
      <c r="G318" s="52"/>
      <c r="H318" s="52"/>
      <c r="I318" s="52"/>
      <c r="J318" s="52"/>
      <c r="K318" s="52"/>
      <c r="L318" s="52"/>
      <c r="M318" s="52"/>
      <c r="N318" s="52"/>
      <c r="O318" s="52"/>
      <c r="P318" s="52"/>
      <c r="Q318" s="52"/>
      <c r="R318" s="52"/>
      <c r="S318" s="52"/>
      <c r="T318" s="17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1:40" ht="60" customHeight="1" x14ac:dyDescent="0.35">
      <c r="A319" s="14"/>
      <c r="B319" s="11"/>
      <c r="C319" s="11"/>
      <c r="D319" s="11"/>
      <c r="E319" s="53"/>
      <c r="F319" s="53"/>
      <c r="G319" s="53"/>
      <c r="H319" s="53"/>
      <c r="I319" s="53"/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17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1:40" ht="60" customHeight="1" x14ac:dyDescent="0.35">
      <c r="A320" s="13"/>
      <c r="B320" s="10"/>
      <c r="C320" s="10"/>
      <c r="D320" s="10"/>
      <c r="E320" s="52"/>
      <c r="F320" s="52"/>
      <c r="G320" s="52"/>
      <c r="H320" s="52"/>
      <c r="I320" s="52"/>
      <c r="J320" s="52"/>
      <c r="K320" s="52"/>
      <c r="L320" s="52"/>
      <c r="M320" s="52"/>
      <c r="N320" s="52"/>
      <c r="O320" s="52"/>
      <c r="P320" s="52"/>
      <c r="Q320" s="52"/>
      <c r="R320" s="52"/>
      <c r="S320" s="52"/>
      <c r="T320" s="17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1:40" ht="60" customHeight="1" x14ac:dyDescent="0.35">
      <c r="A321" s="14"/>
      <c r="B321" s="11"/>
      <c r="C321" s="11"/>
      <c r="D321" s="11"/>
      <c r="E321" s="53"/>
      <c r="F321" s="53"/>
      <c r="G321" s="53"/>
      <c r="H321" s="53"/>
      <c r="I321" s="53"/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17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1:40" ht="60" customHeight="1" x14ac:dyDescent="0.35">
      <c r="A322" s="13"/>
      <c r="B322" s="10"/>
      <c r="C322" s="10"/>
      <c r="D322" s="10"/>
      <c r="E322" s="52"/>
      <c r="F322" s="52"/>
      <c r="G322" s="52"/>
      <c r="H322" s="52"/>
      <c r="I322" s="52"/>
      <c r="J322" s="52"/>
      <c r="K322" s="52"/>
      <c r="L322" s="52"/>
      <c r="M322" s="52"/>
      <c r="N322" s="52"/>
      <c r="O322" s="52"/>
      <c r="P322" s="52"/>
      <c r="Q322" s="52"/>
      <c r="R322" s="52"/>
      <c r="S322" s="52"/>
      <c r="T322" s="17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1:40" ht="60" customHeight="1" x14ac:dyDescent="0.35">
      <c r="A323" s="14"/>
      <c r="B323" s="11"/>
      <c r="C323" s="11"/>
      <c r="D323" s="11"/>
      <c r="E323" s="53"/>
      <c r="F323" s="53"/>
      <c r="G323" s="53"/>
      <c r="H323" s="53"/>
      <c r="I323" s="53"/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17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1:40" ht="60" customHeight="1" x14ac:dyDescent="0.35">
      <c r="A324" s="13"/>
      <c r="B324" s="10"/>
      <c r="C324" s="10"/>
      <c r="D324" s="10"/>
      <c r="E324" s="52"/>
      <c r="F324" s="52"/>
      <c r="G324" s="52"/>
      <c r="H324" s="52"/>
      <c r="I324" s="52"/>
      <c r="J324" s="52"/>
      <c r="K324" s="52"/>
      <c r="L324" s="52"/>
      <c r="M324" s="52"/>
      <c r="N324" s="52"/>
      <c r="O324" s="52"/>
      <c r="P324" s="52"/>
      <c r="Q324" s="52"/>
      <c r="R324" s="52"/>
      <c r="S324" s="52"/>
      <c r="T324" s="17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1:40" ht="60" customHeight="1" x14ac:dyDescent="0.35">
      <c r="A325" s="14"/>
      <c r="B325" s="11"/>
      <c r="C325" s="11"/>
      <c r="D325" s="11"/>
      <c r="E325" s="53"/>
      <c r="F325" s="53"/>
      <c r="G325" s="53"/>
      <c r="H325" s="53"/>
      <c r="I325" s="53"/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17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</row>
    <row r="326" spans="1:40" ht="60" customHeight="1" x14ac:dyDescent="0.35">
      <c r="A326" s="13"/>
      <c r="B326" s="10"/>
      <c r="C326" s="10"/>
      <c r="D326" s="10"/>
      <c r="E326" s="52"/>
      <c r="F326" s="52"/>
      <c r="G326" s="52"/>
      <c r="H326" s="52"/>
      <c r="I326" s="52"/>
      <c r="J326" s="52"/>
      <c r="K326" s="52"/>
      <c r="L326" s="52"/>
      <c r="M326" s="52"/>
      <c r="N326" s="52"/>
      <c r="O326" s="52"/>
      <c r="P326" s="52"/>
      <c r="Q326" s="52"/>
      <c r="R326" s="52"/>
      <c r="S326" s="52"/>
      <c r="T326" s="17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</row>
    <row r="327" spans="1:40" ht="60" customHeight="1" x14ac:dyDescent="0.35">
      <c r="A327" s="14"/>
      <c r="B327" s="11"/>
      <c r="C327" s="11"/>
      <c r="D327" s="11"/>
      <c r="E327" s="53"/>
      <c r="F327" s="53"/>
      <c r="G327" s="53"/>
      <c r="H327" s="53"/>
      <c r="I327" s="53"/>
      <c r="J327" s="53"/>
      <c r="K327" s="53"/>
      <c r="L327" s="53"/>
      <c r="M327" s="53"/>
      <c r="N327" s="53"/>
      <c r="O327" s="53"/>
      <c r="P327" s="53"/>
      <c r="Q327" s="53"/>
      <c r="R327" s="53"/>
      <c r="S327" s="53"/>
      <c r="T327" s="17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</row>
    <row r="328" spans="1:40" ht="60" customHeight="1" x14ac:dyDescent="0.35">
      <c r="A328" s="13"/>
      <c r="B328" s="10"/>
      <c r="C328" s="10"/>
      <c r="D328" s="10"/>
      <c r="E328" s="52"/>
      <c r="F328" s="52"/>
      <c r="G328" s="52"/>
      <c r="H328" s="52"/>
      <c r="I328" s="52"/>
      <c r="J328" s="52"/>
      <c r="K328" s="52"/>
      <c r="L328" s="52"/>
      <c r="M328" s="52"/>
      <c r="N328" s="52"/>
      <c r="O328" s="52"/>
      <c r="P328" s="52"/>
      <c r="Q328" s="52"/>
      <c r="R328" s="52"/>
      <c r="S328" s="52"/>
      <c r="T328" s="17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</row>
    <row r="329" spans="1:40" ht="60" customHeight="1" x14ac:dyDescent="0.35">
      <c r="A329" s="14"/>
      <c r="B329" s="11"/>
      <c r="C329" s="11"/>
      <c r="D329" s="11"/>
      <c r="E329" s="53"/>
      <c r="F329" s="53"/>
      <c r="G329" s="53"/>
      <c r="H329" s="53"/>
      <c r="I329" s="53"/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17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</row>
    <row r="330" spans="1:40" ht="60" customHeight="1" x14ac:dyDescent="0.35">
      <c r="A330" s="13"/>
      <c r="B330" s="10"/>
      <c r="C330" s="10"/>
      <c r="D330" s="10"/>
      <c r="E330" s="52"/>
      <c r="F330" s="52"/>
      <c r="G330" s="52"/>
      <c r="H330" s="52"/>
      <c r="I330" s="52"/>
      <c r="J330" s="52"/>
      <c r="K330" s="52"/>
      <c r="L330" s="52"/>
      <c r="M330" s="52"/>
      <c r="N330" s="52"/>
      <c r="O330" s="52"/>
      <c r="P330" s="52"/>
      <c r="Q330" s="52"/>
      <c r="R330" s="52"/>
      <c r="S330" s="52"/>
      <c r="T330" s="17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</row>
    <row r="331" spans="1:40" ht="60" customHeight="1" x14ac:dyDescent="0.35">
      <c r="A331" s="14"/>
      <c r="B331" s="11"/>
      <c r="C331" s="11"/>
      <c r="D331" s="11"/>
      <c r="E331" s="53"/>
      <c r="F331" s="53"/>
      <c r="G331" s="53"/>
      <c r="H331" s="53"/>
      <c r="I331" s="53"/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17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</row>
    <row r="332" spans="1:40" ht="60" customHeight="1" x14ac:dyDescent="0.35">
      <c r="A332" s="13"/>
      <c r="B332" s="10"/>
      <c r="C332" s="10"/>
      <c r="D332" s="10"/>
      <c r="E332" s="52"/>
      <c r="F332" s="52"/>
      <c r="G332" s="52"/>
      <c r="H332" s="52"/>
      <c r="I332" s="52"/>
      <c r="J332" s="52"/>
      <c r="K332" s="52"/>
      <c r="L332" s="52"/>
      <c r="M332" s="52"/>
      <c r="N332" s="52"/>
      <c r="O332" s="52"/>
      <c r="P332" s="52"/>
      <c r="Q332" s="52"/>
      <c r="R332" s="52"/>
      <c r="S332" s="52"/>
      <c r="T332" s="17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</row>
    <row r="333" spans="1:40" ht="60" customHeight="1" x14ac:dyDescent="0.35">
      <c r="A333" s="14"/>
      <c r="B333" s="11"/>
      <c r="C333" s="11"/>
      <c r="D333" s="11"/>
      <c r="E333" s="53"/>
      <c r="F333" s="53"/>
      <c r="G333" s="53"/>
      <c r="H333" s="53"/>
      <c r="I333" s="53"/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17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1:40" ht="60" customHeight="1" x14ac:dyDescent="0.35">
      <c r="A334" s="13"/>
      <c r="B334" s="10"/>
      <c r="C334" s="10"/>
      <c r="D334" s="10"/>
      <c r="E334" s="52"/>
      <c r="F334" s="52"/>
      <c r="G334" s="52"/>
      <c r="H334" s="52"/>
      <c r="I334" s="52"/>
      <c r="J334" s="52"/>
      <c r="K334" s="52"/>
      <c r="L334" s="52"/>
      <c r="M334" s="52"/>
      <c r="N334" s="52"/>
      <c r="O334" s="52"/>
      <c r="P334" s="52"/>
      <c r="Q334" s="52"/>
      <c r="R334" s="52"/>
      <c r="S334" s="52"/>
      <c r="T334" s="17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1:40" ht="60" customHeight="1" x14ac:dyDescent="0.35">
      <c r="A335" s="14"/>
      <c r="B335" s="11"/>
      <c r="C335" s="11"/>
      <c r="D335" s="11"/>
      <c r="E335" s="53"/>
      <c r="F335" s="53"/>
      <c r="G335" s="53"/>
      <c r="H335" s="53"/>
      <c r="I335" s="53"/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17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1:40" ht="60" customHeight="1" x14ac:dyDescent="0.35">
      <c r="A336" s="13"/>
      <c r="B336" s="10"/>
      <c r="C336" s="10"/>
      <c r="D336" s="10"/>
      <c r="E336" s="52"/>
      <c r="F336" s="52"/>
      <c r="G336" s="52"/>
      <c r="H336" s="52"/>
      <c r="I336" s="52"/>
      <c r="J336" s="52"/>
      <c r="K336" s="52"/>
      <c r="L336" s="52"/>
      <c r="M336" s="52"/>
      <c r="N336" s="52"/>
      <c r="O336" s="52"/>
      <c r="P336" s="52"/>
      <c r="Q336" s="52"/>
      <c r="R336" s="52"/>
      <c r="S336" s="52"/>
      <c r="T336" s="17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1:40" ht="60" customHeight="1" x14ac:dyDescent="0.35">
      <c r="A337" s="14"/>
      <c r="B337" s="11"/>
      <c r="C337" s="11"/>
      <c r="D337" s="11"/>
      <c r="E337" s="53"/>
      <c r="F337" s="53"/>
      <c r="G337" s="53"/>
      <c r="H337" s="53"/>
      <c r="I337" s="53"/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17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1:40" ht="60" customHeight="1" x14ac:dyDescent="0.35">
      <c r="A338" s="13"/>
      <c r="B338" s="10"/>
      <c r="C338" s="10"/>
      <c r="D338" s="10"/>
      <c r="E338" s="52"/>
      <c r="F338" s="52"/>
      <c r="G338" s="52"/>
      <c r="H338" s="52"/>
      <c r="I338" s="52"/>
      <c r="J338" s="52"/>
      <c r="K338" s="52"/>
      <c r="L338" s="52"/>
      <c r="M338" s="52"/>
      <c r="N338" s="52"/>
      <c r="O338" s="52"/>
      <c r="P338" s="52"/>
      <c r="Q338" s="52"/>
      <c r="R338" s="52"/>
      <c r="S338" s="52"/>
      <c r="T338" s="17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1:40" ht="60" customHeight="1" x14ac:dyDescent="0.35">
      <c r="A339" s="14"/>
      <c r="B339" s="11"/>
      <c r="C339" s="11"/>
      <c r="D339" s="11"/>
      <c r="E339" s="53"/>
      <c r="F339" s="53"/>
      <c r="G339" s="53"/>
      <c r="H339" s="53"/>
      <c r="I339" s="53"/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17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1:40" ht="60" customHeight="1" x14ac:dyDescent="0.35">
      <c r="A340" s="13"/>
      <c r="B340" s="10"/>
      <c r="C340" s="10"/>
      <c r="D340" s="10"/>
      <c r="E340" s="52"/>
      <c r="F340" s="52"/>
      <c r="G340" s="52"/>
      <c r="H340" s="52"/>
      <c r="I340" s="52"/>
      <c r="J340" s="52"/>
      <c r="K340" s="52"/>
      <c r="L340" s="52"/>
      <c r="M340" s="52"/>
      <c r="N340" s="52"/>
      <c r="O340" s="52"/>
      <c r="P340" s="52"/>
      <c r="Q340" s="52"/>
      <c r="R340" s="52"/>
      <c r="S340" s="52"/>
      <c r="T340" s="17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1:40" ht="60" customHeight="1" x14ac:dyDescent="0.35">
      <c r="A341" s="14"/>
      <c r="B341" s="11"/>
      <c r="C341" s="11"/>
      <c r="D341" s="11"/>
      <c r="E341" s="53"/>
      <c r="F341" s="53"/>
      <c r="G341" s="53"/>
      <c r="H341" s="53"/>
      <c r="I341" s="53"/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17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1:40" ht="60" customHeight="1" x14ac:dyDescent="0.35">
      <c r="A342" s="13"/>
      <c r="B342" s="10"/>
      <c r="C342" s="10"/>
      <c r="D342" s="10"/>
      <c r="E342" s="52"/>
      <c r="F342" s="52"/>
      <c r="G342" s="52"/>
      <c r="H342" s="52"/>
      <c r="I342" s="52"/>
      <c r="J342" s="52"/>
      <c r="K342" s="52"/>
      <c r="L342" s="52"/>
      <c r="M342" s="52"/>
      <c r="N342" s="52"/>
      <c r="O342" s="52"/>
      <c r="P342" s="52"/>
      <c r="Q342" s="52"/>
      <c r="R342" s="52"/>
      <c r="S342" s="52"/>
      <c r="T342" s="17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1:40" ht="60" customHeight="1" x14ac:dyDescent="0.35">
      <c r="A343" s="14"/>
      <c r="B343" s="11"/>
      <c r="C343" s="11"/>
      <c r="D343" s="11"/>
      <c r="E343" s="53"/>
      <c r="F343" s="53"/>
      <c r="G343" s="53"/>
      <c r="H343" s="53"/>
      <c r="I343" s="53"/>
      <c r="J343" s="53"/>
      <c r="K343" s="53"/>
      <c r="L343" s="53"/>
      <c r="M343" s="53"/>
      <c r="N343" s="53"/>
      <c r="O343" s="53"/>
      <c r="P343" s="53"/>
      <c r="Q343" s="53"/>
      <c r="R343" s="53"/>
      <c r="S343" s="53"/>
      <c r="T343" s="17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1:40" ht="60" customHeight="1" x14ac:dyDescent="0.35">
      <c r="A344" s="13"/>
      <c r="B344" s="10"/>
      <c r="C344" s="10"/>
      <c r="D344" s="10"/>
      <c r="E344" s="52"/>
      <c r="F344" s="52"/>
      <c r="G344" s="52"/>
      <c r="H344" s="52"/>
      <c r="I344" s="52"/>
      <c r="J344" s="52"/>
      <c r="K344" s="52"/>
      <c r="L344" s="52"/>
      <c r="M344" s="52"/>
      <c r="N344" s="52"/>
      <c r="O344" s="52"/>
      <c r="P344" s="52"/>
      <c r="Q344" s="52"/>
      <c r="R344" s="52"/>
      <c r="S344" s="52"/>
      <c r="T344" s="17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1:40" ht="60" customHeight="1" x14ac:dyDescent="0.35">
      <c r="A345" s="14"/>
      <c r="B345" s="11"/>
      <c r="C345" s="11"/>
      <c r="D345" s="11"/>
      <c r="E345" s="53"/>
      <c r="F345" s="53"/>
      <c r="G345" s="53"/>
      <c r="H345" s="53"/>
      <c r="I345" s="53"/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17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1:40" ht="60" customHeight="1" x14ac:dyDescent="0.35">
      <c r="A346" s="13"/>
      <c r="B346" s="10"/>
      <c r="C346" s="10"/>
      <c r="D346" s="10"/>
      <c r="E346" s="52"/>
      <c r="F346" s="52"/>
      <c r="G346" s="52"/>
      <c r="H346" s="52"/>
      <c r="I346" s="52"/>
      <c r="J346" s="52"/>
      <c r="K346" s="52"/>
      <c r="L346" s="52"/>
      <c r="M346" s="52"/>
      <c r="N346" s="52"/>
      <c r="O346" s="52"/>
      <c r="P346" s="52"/>
      <c r="Q346" s="52"/>
      <c r="R346" s="52"/>
      <c r="S346" s="52"/>
      <c r="T346" s="17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1:40" ht="60" customHeight="1" x14ac:dyDescent="0.35">
      <c r="A347" s="14"/>
      <c r="B347" s="1"/>
      <c r="C347" s="1"/>
      <c r="D347" s="1"/>
      <c r="E347" s="50"/>
      <c r="F347" s="50"/>
      <c r="G347" s="50"/>
      <c r="H347" s="50"/>
      <c r="I347" s="50"/>
      <c r="J347" s="50"/>
      <c r="K347" s="50"/>
      <c r="L347" s="50"/>
      <c r="M347" s="50"/>
      <c r="N347" s="50"/>
      <c r="O347" s="50"/>
      <c r="P347" s="50"/>
      <c r="Q347" s="50"/>
      <c r="R347" s="50"/>
      <c r="S347" s="53"/>
      <c r="T347" s="17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1:40" ht="60" customHeight="1" x14ac:dyDescent="0.35">
      <c r="A348" s="13"/>
      <c r="B348" s="10"/>
      <c r="C348" s="10"/>
      <c r="D348" s="10"/>
      <c r="E348" s="52"/>
      <c r="F348" s="52"/>
      <c r="G348" s="52"/>
      <c r="H348" s="52"/>
      <c r="I348" s="52"/>
      <c r="J348" s="52"/>
      <c r="K348" s="52"/>
      <c r="L348" s="52"/>
      <c r="M348" s="52"/>
      <c r="N348" s="52"/>
      <c r="O348" s="52"/>
      <c r="P348" s="52"/>
      <c r="Q348" s="52"/>
      <c r="R348" s="52"/>
      <c r="S348" s="52"/>
      <c r="T348" s="17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1:40" ht="60" customHeight="1" x14ac:dyDescent="0.35">
      <c r="A349" s="14"/>
      <c r="B349" s="11"/>
      <c r="C349" s="11"/>
      <c r="D349" s="11"/>
      <c r="E349" s="53"/>
      <c r="F349" s="53"/>
      <c r="G349" s="53"/>
      <c r="H349" s="53"/>
      <c r="I349" s="53"/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17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1:40" ht="60" customHeight="1" x14ac:dyDescent="0.35">
      <c r="A350" s="13"/>
      <c r="B350" s="10"/>
      <c r="C350" s="10"/>
      <c r="D350" s="10"/>
      <c r="E350" s="52"/>
      <c r="F350" s="52"/>
      <c r="G350" s="52"/>
      <c r="H350" s="52"/>
      <c r="I350" s="52"/>
      <c r="J350" s="52"/>
      <c r="K350" s="52"/>
      <c r="L350" s="52"/>
      <c r="M350" s="52"/>
      <c r="N350" s="52"/>
      <c r="O350" s="52"/>
      <c r="P350" s="52"/>
      <c r="Q350" s="52"/>
      <c r="R350" s="52"/>
      <c r="S350" s="52"/>
      <c r="T350" s="17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1:40" ht="60" customHeight="1" x14ac:dyDescent="0.35">
      <c r="A351" s="14"/>
      <c r="B351" s="11"/>
      <c r="C351" s="11"/>
      <c r="D351" s="11"/>
      <c r="E351" s="53"/>
      <c r="F351" s="53"/>
      <c r="G351" s="53"/>
      <c r="H351" s="53"/>
      <c r="I351" s="53"/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17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1:40" ht="60" customHeight="1" x14ac:dyDescent="0.35">
      <c r="A352" s="13"/>
      <c r="B352" s="10"/>
      <c r="C352" s="10"/>
      <c r="D352" s="10"/>
      <c r="E352" s="52"/>
      <c r="F352" s="52"/>
      <c r="G352" s="52"/>
      <c r="H352" s="52"/>
      <c r="I352" s="52"/>
      <c r="J352" s="52"/>
      <c r="K352" s="52"/>
      <c r="L352" s="52"/>
      <c r="M352" s="52"/>
      <c r="N352" s="52"/>
      <c r="O352" s="52"/>
      <c r="P352" s="52"/>
      <c r="Q352" s="52"/>
      <c r="R352" s="52"/>
      <c r="S352" s="52"/>
      <c r="T352" s="17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1:40" ht="60" customHeight="1" x14ac:dyDescent="0.35">
      <c r="A353" s="14"/>
      <c r="B353" s="11"/>
      <c r="C353" s="11"/>
      <c r="D353" s="11"/>
      <c r="E353" s="53"/>
      <c r="F353" s="53"/>
      <c r="G353" s="53"/>
      <c r="H353" s="53"/>
      <c r="I353" s="53"/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17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1:40" ht="60" customHeight="1" x14ac:dyDescent="0.35">
      <c r="A354" s="13"/>
      <c r="B354" s="10"/>
      <c r="C354" s="10"/>
      <c r="D354" s="10"/>
      <c r="E354" s="52"/>
      <c r="F354" s="52"/>
      <c r="G354" s="52"/>
      <c r="H354" s="52"/>
      <c r="I354" s="52"/>
      <c r="J354" s="52"/>
      <c r="K354" s="52"/>
      <c r="L354" s="52"/>
      <c r="M354" s="52"/>
      <c r="N354" s="52"/>
      <c r="O354" s="52"/>
      <c r="P354" s="52"/>
      <c r="Q354" s="52"/>
      <c r="R354" s="52"/>
      <c r="S354" s="52"/>
      <c r="T354" s="17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</row>
    <row r="355" spans="1:40" ht="60" customHeight="1" x14ac:dyDescent="0.35">
      <c r="A355" s="14"/>
      <c r="B355" s="11"/>
      <c r="C355" s="11"/>
      <c r="D355" s="11"/>
      <c r="E355" s="53"/>
      <c r="F355" s="53"/>
      <c r="G355" s="53"/>
      <c r="H355" s="53"/>
      <c r="I355" s="53"/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17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</row>
    <row r="356" spans="1:40" ht="60" customHeight="1" x14ac:dyDescent="0.35">
      <c r="A356" s="13"/>
      <c r="B356" s="10"/>
      <c r="C356" s="10"/>
      <c r="D356" s="10"/>
      <c r="E356" s="52"/>
      <c r="F356" s="52"/>
      <c r="G356" s="52"/>
      <c r="H356" s="52"/>
      <c r="I356" s="52"/>
      <c r="J356" s="52"/>
      <c r="K356" s="52"/>
      <c r="L356" s="52"/>
      <c r="M356" s="52"/>
      <c r="N356" s="52"/>
      <c r="O356" s="52"/>
      <c r="P356" s="52"/>
      <c r="Q356" s="52"/>
      <c r="R356" s="52"/>
      <c r="S356" s="52"/>
      <c r="T356" s="17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1:40" ht="60" customHeight="1" x14ac:dyDescent="0.35">
      <c r="A357" s="14"/>
      <c r="B357" s="1"/>
      <c r="C357" s="1"/>
      <c r="D357" s="1"/>
      <c r="E357" s="50"/>
      <c r="F357" s="50"/>
      <c r="G357" s="50"/>
      <c r="H357" s="50"/>
      <c r="I357" s="50"/>
      <c r="J357" s="50"/>
      <c r="K357" s="50"/>
      <c r="L357" s="50"/>
      <c r="M357" s="50"/>
      <c r="N357" s="50"/>
      <c r="O357" s="50"/>
      <c r="P357" s="50"/>
      <c r="Q357" s="50"/>
      <c r="R357" s="50"/>
      <c r="S357" s="50"/>
      <c r="T357" s="17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1:40" ht="60" customHeight="1" x14ac:dyDescent="0.35">
      <c r="A358" s="13"/>
      <c r="B358" s="10"/>
      <c r="C358" s="10"/>
      <c r="D358" s="10"/>
      <c r="E358" s="52"/>
      <c r="F358" s="52"/>
      <c r="G358" s="52"/>
      <c r="H358" s="52"/>
      <c r="I358" s="52"/>
      <c r="J358" s="52"/>
      <c r="K358" s="52"/>
      <c r="L358" s="52"/>
      <c r="M358" s="52"/>
      <c r="N358" s="52"/>
      <c r="O358" s="52"/>
      <c r="P358" s="52"/>
      <c r="Q358" s="52"/>
      <c r="R358" s="52"/>
      <c r="S358" s="52"/>
      <c r="T358" s="17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1:40" ht="60" customHeight="1" x14ac:dyDescent="0.35">
      <c r="A359" s="14"/>
      <c r="B359" s="11"/>
      <c r="C359" s="11"/>
      <c r="D359" s="11"/>
      <c r="E359" s="53"/>
      <c r="F359" s="53"/>
      <c r="G359" s="53"/>
      <c r="H359" s="53"/>
      <c r="I359" s="53"/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17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1:40" ht="60" customHeight="1" x14ac:dyDescent="0.35">
      <c r="A360" s="13"/>
      <c r="B360" s="10"/>
      <c r="C360" s="10"/>
      <c r="D360" s="10"/>
      <c r="E360" s="52"/>
      <c r="F360" s="52"/>
      <c r="G360" s="52"/>
      <c r="H360" s="52"/>
      <c r="I360" s="52"/>
      <c r="J360" s="52"/>
      <c r="K360" s="52"/>
      <c r="L360" s="52"/>
      <c r="M360" s="52"/>
      <c r="N360" s="52"/>
      <c r="O360" s="52"/>
      <c r="P360" s="52"/>
      <c r="Q360" s="52"/>
      <c r="R360" s="52"/>
      <c r="S360" s="52"/>
      <c r="T360" s="17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1:40" ht="60" customHeight="1" x14ac:dyDescent="0.35">
      <c r="A361" s="14"/>
      <c r="B361" s="1"/>
      <c r="C361" s="1"/>
      <c r="D361" s="1"/>
      <c r="E361" s="50"/>
      <c r="F361" s="50"/>
      <c r="G361" s="50"/>
      <c r="H361" s="50"/>
      <c r="I361" s="50"/>
      <c r="J361" s="50"/>
      <c r="K361" s="50"/>
      <c r="L361" s="50"/>
      <c r="M361" s="50"/>
      <c r="N361" s="50"/>
      <c r="O361" s="50"/>
      <c r="P361" s="50"/>
      <c r="Q361" s="50"/>
      <c r="R361" s="50"/>
      <c r="S361" s="50"/>
      <c r="T361" s="17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1:40" ht="60" customHeight="1" x14ac:dyDescent="0.35">
      <c r="A362" s="13"/>
      <c r="B362" s="10"/>
      <c r="C362" s="10"/>
      <c r="D362" s="10"/>
      <c r="E362" s="52"/>
      <c r="F362" s="52"/>
      <c r="G362" s="52"/>
      <c r="H362" s="52"/>
      <c r="I362" s="52"/>
      <c r="J362" s="52"/>
      <c r="K362" s="52"/>
      <c r="L362" s="52"/>
      <c r="M362" s="52"/>
      <c r="N362" s="52"/>
      <c r="O362" s="52"/>
      <c r="P362" s="52"/>
      <c r="Q362" s="52"/>
      <c r="R362" s="52"/>
      <c r="S362" s="52"/>
      <c r="T362" s="17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1:40" ht="60" customHeight="1" x14ac:dyDescent="0.35">
      <c r="A363" s="14"/>
      <c r="B363" s="11"/>
      <c r="C363" s="11"/>
      <c r="D363" s="11"/>
      <c r="E363" s="53"/>
      <c r="F363" s="53"/>
      <c r="G363" s="53"/>
      <c r="H363" s="53"/>
      <c r="I363" s="53"/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17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1:40" ht="60" customHeight="1" x14ac:dyDescent="0.35">
      <c r="A364" s="13"/>
      <c r="B364" s="10"/>
      <c r="C364" s="10"/>
      <c r="D364" s="10"/>
      <c r="E364" s="52"/>
      <c r="F364" s="52"/>
      <c r="G364" s="52"/>
      <c r="H364" s="52"/>
      <c r="I364" s="52"/>
      <c r="J364" s="52"/>
      <c r="K364" s="52"/>
      <c r="L364" s="52"/>
      <c r="M364" s="52"/>
      <c r="N364" s="52"/>
      <c r="O364" s="52"/>
      <c r="P364" s="52"/>
      <c r="Q364" s="52"/>
      <c r="R364" s="52"/>
      <c r="S364" s="52"/>
      <c r="T364" s="17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1:40" ht="60" customHeight="1" x14ac:dyDescent="0.35">
      <c r="A365" s="14"/>
      <c r="B365" s="1"/>
      <c r="C365" s="1"/>
      <c r="D365" s="1"/>
      <c r="E365" s="50"/>
      <c r="F365" s="50"/>
      <c r="G365" s="50"/>
      <c r="H365" s="50"/>
      <c r="I365" s="50"/>
      <c r="J365" s="50"/>
      <c r="K365" s="50"/>
      <c r="L365" s="50"/>
      <c r="M365" s="50"/>
      <c r="N365" s="50"/>
      <c r="O365" s="50"/>
      <c r="P365" s="50"/>
      <c r="Q365" s="50"/>
      <c r="R365" s="50"/>
      <c r="S365" s="50"/>
      <c r="T365" s="17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1:40" ht="60" customHeight="1" x14ac:dyDescent="0.35">
      <c r="A366" s="13"/>
      <c r="B366" s="10"/>
      <c r="C366" s="10"/>
      <c r="D366" s="10"/>
      <c r="E366" s="52"/>
      <c r="F366" s="52"/>
      <c r="G366" s="52"/>
      <c r="H366" s="52"/>
      <c r="I366" s="52"/>
      <c r="J366" s="52"/>
      <c r="K366" s="52"/>
      <c r="L366" s="52"/>
      <c r="M366" s="52"/>
      <c r="N366" s="52"/>
      <c r="O366" s="52"/>
      <c r="P366" s="52"/>
      <c r="Q366" s="52"/>
      <c r="R366" s="52"/>
      <c r="S366" s="52"/>
      <c r="T366" s="17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</row>
    <row r="367" spans="1:40" ht="60" customHeight="1" x14ac:dyDescent="0.35">
      <c r="A367" s="14"/>
      <c r="B367" s="11"/>
      <c r="C367" s="11"/>
      <c r="D367" s="11"/>
      <c r="E367" s="53"/>
      <c r="F367" s="53"/>
      <c r="G367" s="53"/>
      <c r="H367" s="53"/>
      <c r="I367" s="53"/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17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1:40" ht="60" customHeight="1" x14ac:dyDescent="0.35">
      <c r="A368" s="13"/>
      <c r="B368" s="10"/>
      <c r="C368" s="10"/>
      <c r="D368" s="10"/>
      <c r="E368" s="52"/>
      <c r="F368" s="52"/>
      <c r="G368" s="52"/>
      <c r="H368" s="52"/>
      <c r="I368" s="52"/>
      <c r="J368" s="52"/>
      <c r="K368" s="52"/>
      <c r="L368" s="52"/>
      <c r="M368" s="52"/>
      <c r="N368" s="52"/>
      <c r="O368" s="52"/>
      <c r="P368" s="52"/>
      <c r="Q368" s="52"/>
      <c r="R368" s="52"/>
      <c r="S368" s="52"/>
      <c r="T368" s="17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1:40" ht="60" customHeight="1" x14ac:dyDescent="0.35">
      <c r="A369" s="14"/>
      <c r="B369" s="1"/>
      <c r="C369" s="1"/>
      <c r="D369" s="1"/>
      <c r="E369" s="50"/>
      <c r="F369" s="50"/>
      <c r="G369" s="50"/>
      <c r="H369" s="50"/>
      <c r="I369" s="50"/>
      <c r="J369" s="50"/>
      <c r="K369" s="50"/>
      <c r="L369" s="50"/>
      <c r="M369" s="50"/>
      <c r="N369" s="50"/>
      <c r="O369" s="50"/>
      <c r="P369" s="50"/>
      <c r="Q369" s="50"/>
      <c r="R369" s="50"/>
      <c r="S369" s="50"/>
      <c r="T369" s="17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1:40" ht="60" customHeight="1" x14ac:dyDescent="0.35">
      <c r="A370" s="13"/>
      <c r="B370" s="10"/>
      <c r="C370" s="10"/>
      <c r="D370" s="10"/>
      <c r="E370" s="52"/>
      <c r="F370" s="52"/>
      <c r="G370" s="52"/>
      <c r="H370" s="52"/>
      <c r="I370" s="52"/>
      <c r="J370" s="52"/>
      <c r="K370" s="52"/>
      <c r="L370" s="52"/>
      <c r="M370" s="52"/>
      <c r="N370" s="52"/>
      <c r="O370" s="52"/>
      <c r="P370" s="52"/>
      <c r="Q370" s="52"/>
      <c r="R370" s="52"/>
      <c r="S370" s="52"/>
      <c r="T370" s="17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1:40" ht="60" customHeight="1" x14ac:dyDescent="0.35">
      <c r="A371" s="14"/>
      <c r="B371" s="1"/>
      <c r="C371" s="1"/>
      <c r="D371" s="1"/>
      <c r="E371" s="50"/>
      <c r="F371" s="50"/>
      <c r="G371" s="50"/>
      <c r="H371" s="50"/>
      <c r="I371" s="50"/>
      <c r="J371" s="50"/>
      <c r="K371" s="50"/>
      <c r="L371" s="50"/>
      <c r="M371" s="50"/>
      <c r="N371" s="50"/>
      <c r="O371" s="50"/>
      <c r="P371" s="50"/>
      <c r="Q371" s="50"/>
      <c r="R371" s="50"/>
      <c r="S371" s="53"/>
      <c r="T371" s="17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1:40" ht="60" customHeight="1" x14ac:dyDescent="0.35">
      <c r="A372" s="13"/>
      <c r="B372" s="10"/>
      <c r="C372" s="10"/>
      <c r="D372" s="10"/>
      <c r="E372" s="52"/>
      <c r="F372" s="52"/>
      <c r="G372" s="52"/>
      <c r="H372" s="52"/>
      <c r="I372" s="52"/>
      <c r="J372" s="52"/>
      <c r="K372" s="52"/>
      <c r="L372" s="52"/>
      <c r="M372" s="52"/>
      <c r="N372" s="52"/>
      <c r="O372" s="52"/>
      <c r="P372" s="52"/>
      <c r="Q372" s="52"/>
      <c r="R372" s="52"/>
      <c r="S372" s="52"/>
      <c r="T372" s="17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1:40" ht="60" customHeight="1" x14ac:dyDescent="0.35">
      <c r="A373" s="14"/>
      <c r="B373" s="1"/>
      <c r="C373" s="1"/>
      <c r="D373" s="1"/>
      <c r="E373" s="50"/>
      <c r="F373" s="50"/>
      <c r="G373" s="50"/>
      <c r="H373" s="50"/>
      <c r="I373" s="50"/>
      <c r="J373" s="50"/>
      <c r="K373" s="50"/>
      <c r="L373" s="50"/>
      <c r="M373" s="50"/>
      <c r="N373" s="50"/>
      <c r="O373" s="50"/>
      <c r="P373" s="50"/>
      <c r="Q373" s="50"/>
      <c r="R373" s="50"/>
      <c r="S373" s="50"/>
      <c r="T373" s="17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1:40" ht="60" customHeight="1" x14ac:dyDescent="0.35">
      <c r="A374" s="13"/>
      <c r="B374" s="10"/>
      <c r="C374" s="10"/>
      <c r="D374" s="10"/>
      <c r="E374" s="52"/>
      <c r="F374" s="52"/>
      <c r="G374" s="52"/>
      <c r="H374" s="52"/>
      <c r="I374" s="52"/>
      <c r="J374" s="52"/>
      <c r="K374" s="52"/>
      <c r="L374" s="52"/>
      <c r="M374" s="52"/>
      <c r="N374" s="52"/>
      <c r="O374" s="52"/>
      <c r="P374" s="52"/>
      <c r="Q374" s="52"/>
      <c r="R374" s="52"/>
      <c r="S374" s="52"/>
      <c r="T374" s="17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</row>
    <row r="375" spans="1:40" ht="60" customHeight="1" x14ac:dyDescent="0.35">
      <c r="A375" s="14"/>
      <c r="B375" s="11"/>
      <c r="C375" s="11"/>
      <c r="D375" s="11"/>
      <c r="E375" s="53"/>
      <c r="F375" s="53"/>
      <c r="G375" s="53"/>
      <c r="H375" s="53"/>
      <c r="I375" s="53"/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17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1:40" ht="60" customHeight="1" x14ac:dyDescent="0.35">
      <c r="A376" s="13"/>
      <c r="B376" s="10"/>
      <c r="C376" s="10"/>
      <c r="D376" s="10"/>
      <c r="E376" s="52"/>
      <c r="F376" s="52"/>
      <c r="G376" s="52"/>
      <c r="H376" s="52"/>
      <c r="I376" s="52"/>
      <c r="J376" s="52"/>
      <c r="K376" s="52"/>
      <c r="L376" s="52"/>
      <c r="M376" s="52"/>
      <c r="N376" s="52"/>
      <c r="O376" s="52"/>
      <c r="P376" s="52"/>
      <c r="Q376" s="52"/>
      <c r="R376" s="52"/>
      <c r="S376" s="52"/>
      <c r="T376" s="17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1:40" ht="60" customHeight="1" x14ac:dyDescent="0.35">
      <c r="A377" s="14"/>
      <c r="B377" s="1"/>
      <c r="C377" s="1"/>
      <c r="D377" s="1"/>
      <c r="E377" s="50"/>
      <c r="F377" s="50"/>
      <c r="G377" s="50"/>
      <c r="H377" s="50"/>
      <c r="I377" s="50"/>
      <c r="J377" s="50"/>
      <c r="K377" s="50"/>
      <c r="L377" s="50"/>
      <c r="M377" s="50"/>
      <c r="N377" s="50"/>
      <c r="O377" s="50"/>
      <c r="P377" s="50"/>
      <c r="Q377" s="50"/>
      <c r="R377" s="50"/>
      <c r="S377" s="50"/>
      <c r="T377" s="17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1:40" ht="60" customHeight="1" x14ac:dyDescent="0.35">
      <c r="A378" s="13"/>
      <c r="B378" s="10"/>
      <c r="C378" s="10"/>
      <c r="D378" s="10"/>
      <c r="E378" s="52"/>
      <c r="F378" s="52"/>
      <c r="G378" s="52"/>
      <c r="H378" s="52"/>
      <c r="I378" s="52"/>
      <c r="J378" s="52"/>
      <c r="K378" s="52"/>
      <c r="L378" s="52"/>
      <c r="M378" s="52"/>
      <c r="N378" s="52"/>
      <c r="O378" s="52"/>
      <c r="P378" s="52"/>
      <c r="Q378" s="52"/>
      <c r="R378" s="52"/>
      <c r="S378" s="52"/>
      <c r="T378" s="17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1:40" ht="60" customHeight="1" x14ac:dyDescent="0.35">
      <c r="A379" s="14"/>
      <c r="B379" s="1"/>
      <c r="C379" s="1"/>
      <c r="D379" s="1"/>
      <c r="E379" s="50"/>
      <c r="F379" s="50"/>
      <c r="G379" s="50"/>
      <c r="H379" s="50"/>
      <c r="I379" s="50"/>
      <c r="J379" s="50"/>
      <c r="K379" s="50"/>
      <c r="L379" s="50"/>
      <c r="M379" s="50"/>
      <c r="N379" s="50"/>
      <c r="O379" s="50"/>
      <c r="P379" s="50"/>
      <c r="Q379" s="50"/>
      <c r="R379" s="50"/>
      <c r="S379" s="50"/>
      <c r="T379" s="17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1:40" ht="60" customHeight="1" x14ac:dyDescent="0.35">
      <c r="A380" s="13"/>
      <c r="B380" s="10"/>
      <c r="C380" s="10"/>
      <c r="D380" s="10"/>
      <c r="E380" s="52"/>
      <c r="F380" s="52"/>
      <c r="G380" s="52"/>
      <c r="H380" s="52"/>
      <c r="I380" s="52"/>
      <c r="J380" s="52"/>
      <c r="K380" s="52"/>
      <c r="L380" s="52"/>
      <c r="M380" s="52"/>
      <c r="N380" s="52"/>
      <c r="O380" s="52"/>
      <c r="P380" s="52"/>
      <c r="Q380" s="52"/>
      <c r="R380" s="52"/>
      <c r="S380" s="52"/>
      <c r="T380" s="17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1:40" ht="60" customHeight="1" x14ac:dyDescent="0.35">
      <c r="A381" s="14"/>
      <c r="B381" s="11"/>
      <c r="C381" s="11"/>
      <c r="D381" s="11"/>
      <c r="E381" s="53"/>
      <c r="F381" s="53"/>
      <c r="G381" s="53"/>
      <c r="H381" s="53"/>
      <c r="I381" s="53"/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17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1:40" ht="60" customHeight="1" x14ac:dyDescent="0.35">
      <c r="A382" s="13"/>
      <c r="B382" s="10"/>
      <c r="C382" s="10"/>
      <c r="D382" s="10"/>
      <c r="E382" s="52"/>
      <c r="F382" s="52"/>
      <c r="G382" s="52"/>
      <c r="H382" s="52"/>
      <c r="I382" s="52"/>
      <c r="J382" s="52"/>
      <c r="K382" s="52"/>
      <c r="L382" s="52"/>
      <c r="M382" s="52"/>
      <c r="N382" s="52"/>
      <c r="O382" s="52"/>
      <c r="P382" s="52"/>
      <c r="Q382" s="52"/>
      <c r="R382" s="52"/>
      <c r="S382" s="52"/>
      <c r="T382" s="17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1:40" ht="60" customHeight="1" x14ac:dyDescent="0.35">
      <c r="A383" s="14"/>
      <c r="B383" s="1"/>
      <c r="C383" s="1"/>
      <c r="D383" s="1"/>
      <c r="E383" s="50"/>
      <c r="F383" s="50"/>
      <c r="G383" s="50"/>
      <c r="H383" s="50"/>
      <c r="I383" s="50"/>
      <c r="J383" s="50"/>
      <c r="K383" s="50"/>
      <c r="L383" s="50"/>
      <c r="M383" s="50"/>
      <c r="N383" s="50"/>
      <c r="O383" s="50"/>
      <c r="P383" s="50"/>
      <c r="Q383" s="50"/>
      <c r="R383" s="50"/>
      <c r="S383" s="50"/>
      <c r="T383" s="17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</row>
    <row r="384" spans="1:40" ht="60" customHeight="1" x14ac:dyDescent="0.35">
      <c r="A384" s="13"/>
      <c r="B384" s="10"/>
      <c r="C384" s="10"/>
      <c r="D384" s="10"/>
      <c r="E384" s="52"/>
      <c r="F384" s="52"/>
      <c r="G384" s="52"/>
      <c r="H384" s="52"/>
      <c r="I384" s="52"/>
      <c r="J384" s="52"/>
      <c r="K384" s="52"/>
      <c r="L384" s="52"/>
      <c r="M384" s="52"/>
      <c r="N384" s="52"/>
      <c r="O384" s="52"/>
      <c r="P384" s="52"/>
      <c r="Q384" s="52"/>
      <c r="R384" s="52"/>
      <c r="S384" s="52"/>
      <c r="T384" s="17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1:40" ht="60" customHeight="1" x14ac:dyDescent="0.35">
      <c r="A385" s="14"/>
      <c r="B385" s="1"/>
      <c r="C385" s="1"/>
      <c r="D385" s="1"/>
      <c r="E385" s="50"/>
      <c r="F385" s="50"/>
      <c r="G385" s="50"/>
      <c r="H385" s="50"/>
      <c r="I385" s="50"/>
      <c r="J385" s="50"/>
      <c r="K385" s="50"/>
      <c r="L385" s="50"/>
      <c r="M385" s="50"/>
      <c r="N385" s="50"/>
      <c r="O385" s="50"/>
      <c r="P385" s="50"/>
      <c r="Q385" s="50"/>
      <c r="R385" s="50"/>
      <c r="S385" s="50"/>
      <c r="T385" s="17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1:40" ht="60" customHeight="1" x14ac:dyDescent="0.35">
      <c r="A386" s="13"/>
      <c r="B386" s="10"/>
      <c r="C386" s="10"/>
      <c r="D386" s="10"/>
      <c r="E386" s="52"/>
      <c r="F386" s="52"/>
      <c r="G386" s="52"/>
      <c r="H386" s="52"/>
      <c r="I386" s="52"/>
      <c r="J386" s="52"/>
      <c r="K386" s="52"/>
      <c r="L386" s="52"/>
      <c r="M386" s="52"/>
      <c r="N386" s="52"/>
      <c r="O386" s="52"/>
      <c r="P386" s="52"/>
      <c r="Q386" s="52"/>
      <c r="R386" s="52"/>
      <c r="S386" s="52"/>
      <c r="T386" s="17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1:40" ht="60" customHeight="1" x14ac:dyDescent="0.35">
      <c r="A387" s="14"/>
      <c r="B387" s="11"/>
      <c r="C387" s="11"/>
      <c r="D387" s="11"/>
      <c r="E387" s="53"/>
      <c r="F387" s="53"/>
      <c r="G387" s="53"/>
      <c r="H387" s="53"/>
      <c r="I387" s="53"/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17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1:40" ht="60" customHeight="1" x14ac:dyDescent="0.35">
      <c r="A388" s="13"/>
      <c r="B388" s="10"/>
      <c r="C388" s="10"/>
      <c r="D388" s="10"/>
      <c r="E388" s="52"/>
      <c r="F388" s="52"/>
      <c r="G388" s="52"/>
      <c r="H388" s="52"/>
      <c r="I388" s="52"/>
      <c r="J388" s="52"/>
      <c r="K388" s="52"/>
      <c r="L388" s="52"/>
      <c r="M388" s="52"/>
      <c r="N388" s="52"/>
      <c r="O388" s="52"/>
      <c r="P388" s="52"/>
      <c r="Q388" s="52"/>
      <c r="R388" s="52"/>
      <c r="S388" s="52"/>
      <c r="T388" s="17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1:40" ht="60" customHeight="1" x14ac:dyDescent="0.35">
      <c r="A389" s="14"/>
      <c r="B389" s="11"/>
      <c r="C389" s="11"/>
      <c r="D389" s="11"/>
      <c r="E389" s="53"/>
      <c r="F389" s="53"/>
      <c r="G389" s="53"/>
      <c r="H389" s="53"/>
      <c r="I389" s="53"/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17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1:40" ht="60" customHeight="1" x14ac:dyDescent="0.35">
      <c r="A390" s="13"/>
      <c r="B390" s="10"/>
      <c r="C390" s="10"/>
      <c r="D390" s="10"/>
      <c r="E390" s="52"/>
      <c r="F390" s="52"/>
      <c r="G390" s="52"/>
      <c r="H390" s="52"/>
      <c r="I390" s="52"/>
      <c r="J390" s="52"/>
      <c r="K390" s="52"/>
      <c r="L390" s="52"/>
      <c r="M390" s="52"/>
      <c r="N390" s="52"/>
      <c r="O390" s="52"/>
      <c r="P390" s="52"/>
      <c r="Q390" s="52"/>
      <c r="R390" s="52"/>
      <c r="S390" s="52"/>
      <c r="T390" s="17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1:40" ht="60" customHeight="1" x14ac:dyDescent="0.35">
      <c r="A391" s="14"/>
      <c r="B391" s="11"/>
      <c r="C391" s="11"/>
      <c r="D391" s="11"/>
      <c r="E391" s="53"/>
      <c r="F391" s="53"/>
      <c r="G391" s="53"/>
      <c r="H391" s="53"/>
      <c r="I391" s="53"/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17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1:40" ht="60" customHeight="1" x14ac:dyDescent="0.35">
      <c r="A392" s="13"/>
      <c r="B392" s="10"/>
      <c r="C392" s="10"/>
      <c r="D392" s="10"/>
      <c r="E392" s="52"/>
      <c r="F392" s="52"/>
      <c r="G392" s="52"/>
      <c r="H392" s="52"/>
      <c r="I392" s="52"/>
      <c r="J392" s="52"/>
      <c r="K392" s="52"/>
      <c r="L392" s="52"/>
      <c r="M392" s="52"/>
      <c r="N392" s="52"/>
      <c r="O392" s="52"/>
      <c r="P392" s="52"/>
      <c r="Q392" s="52"/>
      <c r="R392" s="52"/>
      <c r="S392" s="52"/>
      <c r="T392" s="17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</row>
    <row r="393" spans="1:40" ht="60" customHeight="1" x14ac:dyDescent="0.35">
      <c r="A393" s="14"/>
      <c r="B393" s="11"/>
      <c r="C393" s="11"/>
      <c r="D393" s="11"/>
      <c r="E393" s="53"/>
      <c r="F393" s="53"/>
      <c r="G393" s="53"/>
      <c r="H393" s="53"/>
      <c r="I393" s="53"/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17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1:40" ht="60" customHeight="1" x14ac:dyDescent="0.35">
      <c r="A394" s="13"/>
      <c r="B394" s="10"/>
      <c r="C394" s="10"/>
      <c r="D394" s="10"/>
      <c r="E394" s="52"/>
      <c r="F394" s="52"/>
      <c r="G394" s="52"/>
      <c r="H394" s="52"/>
      <c r="I394" s="52"/>
      <c r="J394" s="52"/>
      <c r="K394" s="52"/>
      <c r="L394" s="52"/>
      <c r="M394" s="52"/>
      <c r="N394" s="52"/>
      <c r="O394" s="52"/>
      <c r="P394" s="52"/>
      <c r="Q394" s="52"/>
      <c r="R394" s="52"/>
      <c r="S394" s="52"/>
      <c r="T394" s="17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1:40" ht="60" customHeight="1" x14ac:dyDescent="0.35">
      <c r="A395" s="14"/>
      <c r="B395" s="1"/>
      <c r="C395" s="1"/>
      <c r="D395" s="1"/>
      <c r="E395" s="50"/>
      <c r="F395" s="50"/>
      <c r="G395" s="50"/>
      <c r="H395" s="50"/>
      <c r="I395" s="50"/>
      <c r="J395" s="50"/>
      <c r="K395" s="50"/>
      <c r="L395" s="50"/>
      <c r="M395" s="50"/>
      <c r="N395" s="50"/>
      <c r="O395" s="50"/>
      <c r="P395" s="50"/>
      <c r="Q395" s="50"/>
      <c r="R395" s="50"/>
      <c r="S395" s="50"/>
      <c r="T395" s="17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1:40" ht="60" customHeight="1" x14ac:dyDescent="0.35">
      <c r="A396" s="13"/>
      <c r="B396" s="10"/>
      <c r="C396" s="10"/>
      <c r="D396" s="10"/>
      <c r="E396" s="52"/>
      <c r="F396" s="52"/>
      <c r="G396" s="52"/>
      <c r="H396" s="52"/>
      <c r="I396" s="52"/>
      <c r="J396" s="52"/>
      <c r="K396" s="52"/>
      <c r="L396" s="52"/>
      <c r="M396" s="52"/>
      <c r="N396" s="52"/>
      <c r="O396" s="52"/>
      <c r="P396" s="52"/>
      <c r="Q396" s="52"/>
      <c r="R396" s="52"/>
      <c r="S396" s="52"/>
      <c r="T396" s="17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1:40" ht="60" customHeight="1" x14ac:dyDescent="0.35">
      <c r="A397" s="14"/>
      <c r="B397" s="1"/>
      <c r="C397" s="1"/>
      <c r="D397" s="1"/>
      <c r="E397" s="50"/>
      <c r="F397" s="50"/>
      <c r="G397" s="50"/>
      <c r="H397" s="50"/>
      <c r="I397" s="50"/>
      <c r="J397" s="50"/>
      <c r="K397" s="50"/>
      <c r="L397" s="50"/>
      <c r="M397" s="50"/>
      <c r="N397" s="50"/>
      <c r="O397" s="50"/>
      <c r="P397" s="50"/>
      <c r="Q397" s="50"/>
      <c r="R397" s="50"/>
      <c r="S397" s="50"/>
      <c r="T397" s="17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1:40" ht="60" customHeight="1" x14ac:dyDescent="0.35">
      <c r="A398" s="13"/>
      <c r="B398" s="10"/>
      <c r="C398" s="10"/>
      <c r="D398" s="10"/>
      <c r="E398" s="52"/>
      <c r="F398" s="52"/>
      <c r="G398" s="52"/>
      <c r="H398" s="52"/>
      <c r="I398" s="52"/>
      <c r="J398" s="52"/>
      <c r="K398" s="52"/>
      <c r="L398" s="52"/>
      <c r="M398" s="52"/>
      <c r="N398" s="52"/>
      <c r="O398" s="52"/>
      <c r="P398" s="52"/>
      <c r="Q398" s="52"/>
      <c r="R398" s="52"/>
      <c r="S398" s="52"/>
      <c r="T398" s="17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</row>
    <row r="399" spans="1:40" ht="60" customHeight="1" x14ac:dyDescent="0.35">
      <c r="A399" s="14"/>
      <c r="B399" s="11"/>
      <c r="C399" s="11"/>
      <c r="D399" s="11"/>
      <c r="E399" s="53"/>
      <c r="F399" s="53"/>
      <c r="G399" s="53"/>
      <c r="H399" s="53"/>
      <c r="I399" s="53"/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17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</row>
    <row r="400" spans="1:40" ht="60" customHeight="1" x14ac:dyDescent="0.35">
      <c r="A400" s="13"/>
      <c r="B400" s="10"/>
      <c r="C400" s="10"/>
      <c r="D400" s="10"/>
      <c r="E400" s="52"/>
      <c r="F400" s="52"/>
      <c r="G400" s="52"/>
      <c r="H400" s="52"/>
      <c r="I400" s="52"/>
      <c r="J400" s="52"/>
      <c r="K400" s="52"/>
      <c r="L400" s="52"/>
      <c r="M400" s="52"/>
      <c r="N400" s="52"/>
      <c r="O400" s="52"/>
      <c r="P400" s="52"/>
      <c r="Q400" s="52"/>
      <c r="R400" s="52"/>
      <c r="S400" s="52"/>
      <c r="T400" s="17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</row>
    <row r="401" spans="1:40" ht="60" customHeight="1" x14ac:dyDescent="0.35">
      <c r="A401" s="14"/>
      <c r="B401" s="11"/>
      <c r="C401" s="11"/>
      <c r="D401" s="11"/>
      <c r="E401" s="53"/>
      <c r="F401" s="53"/>
      <c r="G401" s="53"/>
      <c r="H401" s="53"/>
      <c r="I401" s="53"/>
      <c r="J401" s="53"/>
      <c r="K401" s="53"/>
      <c r="L401" s="53"/>
      <c r="M401" s="53"/>
      <c r="N401" s="53"/>
      <c r="O401" s="53"/>
      <c r="P401" s="53"/>
      <c r="Q401" s="53"/>
      <c r="R401" s="53"/>
      <c r="S401" s="53"/>
      <c r="T401" s="17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</row>
    <row r="402" spans="1:40" ht="60" customHeight="1" x14ac:dyDescent="0.35">
      <c r="A402" s="13"/>
      <c r="B402" s="10"/>
      <c r="C402" s="10"/>
      <c r="D402" s="10"/>
      <c r="E402" s="52"/>
      <c r="F402" s="52"/>
      <c r="G402" s="52"/>
      <c r="H402" s="52"/>
      <c r="I402" s="52"/>
      <c r="J402" s="52"/>
      <c r="K402" s="52"/>
      <c r="L402" s="52"/>
      <c r="M402" s="52"/>
      <c r="N402" s="52"/>
      <c r="O402" s="52"/>
      <c r="P402" s="52"/>
      <c r="Q402" s="52"/>
      <c r="R402" s="52"/>
      <c r="S402" s="52"/>
      <c r="T402" s="17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</row>
    <row r="403" spans="1:40" ht="60" customHeight="1" x14ac:dyDescent="0.35">
      <c r="A403" s="14"/>
      <c r="B403" s="11"/>
      <c r="C403" s="11"/>
      <c r="D403" s="11"/>
      <c r="E403" s="53"/>
      <c r="F403" s="53"/>
      <c r="G403" s="53"/>
      <c r="H403" s="53"/>
      <c r="I403" s="53"/>
      <c r="J403" s="53"/>
      <c r="K403" s="53"/>
      <c r="L403" s="53"/>
      <c r="M403" s="53"/>
      <c r="N403" s="53"/>
      <c r="O403" s="53"/>
      <c r="P403" s="53"/>
      <c r="Q403" s="53"/>
      <c r="R403" s="53"/>
      <c r="S403" s="53"/>
      <c r="T403" s="17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</row>
    <row r="404" spans="1:40" ht="60" customHeight="1" x14ac:dyDescent="0.35">
      <c r="A404" s="13"/>
      <c r="B404" s="10"/>
      <c r="C404" s="10"/>
      <c r="D404" s="10"/>
      <c r="E404" s="52"/>
      <c r="F404" s="52"/>
      <c r="G404" s="52"/>
      <c r="H404" s="52"/>
      <c r="I404" s="52"/>
      <c r="J404" s="52"/>
      <c r="K404" s="52"/>
      <c r="L404" s="52"/>
      <c r="M404" s="52"/>
      <c r="N404" s="52"/>
      <c r="O404" s="52"/>
      <c r="P404" s="52"/>
      <c r="Q404" s="52"/>
      <c r="R404" s="52"/>
      <c r="S404" s="52"/>
      <c r="T404" s="17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</row>
    <row r="405" spans="1:40" ht="60" customHeight="1" x14ac:dyDescent="0.35">
      <c r="A405" s="14"/>
      <c r="B405" s="1"/>
      <c r="C405" s="1"/>
      <c r="D405" s="1"/>
      <c r="E405" s="50"/>
      <c r="F405" s="50"/>
      <c r="G405" s="50"/>
      <c r="H405" s="50"/>
      <c r="I405" s="50"/>
      <c r="J405" s="50"/>
      <c r="K405" s="50"/>
      <c r="L405" s="50"/>
      <c r="M405" s="50"/>
      <c r="N405" s="50"/>
      <c r="O405" s="50"/>
      <c r="P405" s="50"/>
      <c r="Q405" s="50"/>
      <c r="R405" s="50"/>
      <c r="S405" s="50"/>
      <c r="T405" s="17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</row>
    <row r="406" spans="1:40" ht="60" customHeight="1" x14ac:dyDescent="0.35">
      <c r="A406" s="13"/>
      <c r="B406" s="10"/>
      <c r="C406" s="10"/>
      <c r="D406" s="10"/>
      <c r="E406" s="52"/>
      <c r="F406" s="52"/>
      <c r="G406" s="52"/>
      <c r="H406" s="52"/>
      <c r="I406" s="52"/>
      <c r="J406" s="52"/>
      <c r="K406" s="52"/>
      <c r="L406" s="52"/>
      <c r="M406" s="52"/>
      <c r="N406" s="52"/>
      <c r="O406" s="52"/>
      <c r="P406" s="52"/>
      <c r="Q406" s="52"/>
      <c r="R406" s="52"/>
      <c r="S406" s="52"/>
      <c r="T406" s="17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</row>
    <row r="407" spans="1:40" ht="60" customHeight="1" x14ac:dyDescent="0.35">
      <c r="A407" s="14"/>
      <c r="B407" s="1"/>
      <c r="C407" s="1"/>
      <c r="D407" s="1"/>
      <c r="E407" s="50"/>
      <c r="F407" s="50"/>
      <c r="G407" s="50"/>
      <c r="H407" s="50"/>
      <c r="I407" s="50"/>
      <c r="J407" s="50"/>
      <c r="K407" s="50"/>
      <c r="L407" s="50"/>
      <c r="M407" s="50"/>
      <c r="N407" s="50"/>
      <c r="O407" s="50"/>
      <c r="P407" s="50"/>
      <c r="Q407" s="50"/>
      <c r="R407" s="50"/>
      <c r="S407" s="53"/>
      <c r="T407" s="17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</row>
    <row r="408" spans="1:40" ht="60" customHeight="1" x14ac:dyDescent="0.35">
      <c r="A408" s="13"/>
      <c r="B408" s="10"/>
      <c r="C408" s="10"/>
      <c r="D408" s="10"/>
      <c r="E408" s="52"/>
      <c r="F408" s="52"/>
      <c r="G408" s="52"/>
      <c r="H408" s="52"/>
      <c r="I408" s="52"/>
      <c r="J408" s="52"/>
      <c r="K408" s="52"/>
      <c r="L408" s="52"/>
      <c r="M408" s="52"/>
      <c r="N408" s="52"/>
      <c r="O408" s="52"/>
      <c r="P408" s="52"/>
      <c r="Q408" s="52"/>
      <c r="R408" s="52"/>
      <c r="S408" s="52"/>
      <c r="T408" s="17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</row>
    <row r="409" spans="1:40" ht="60" customHeight="1" x14ac:dyDescent="0.35">
      <c r="A409" s="14"/>
      <c r="B409" s="11"/>
      <c r="C409" s="11"/>
      <c r="D409" s="11"/>
      <c r="E409" s="53"/>
      <c r="F409" s="53"/>
      <c r="G409" s="53"/>
      <c r="H409" s="53"/>
      <c r="I409" s="53"/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17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</row>
    <row r="410" spans="1:40" ht="60" customHeight="1" x14ac:dyDescent="0.35">
      <c r="A410" s="13"/>
      <c r="B410" s="10"/>
      <c r="C410" s="10"/>
      <c r="D410" s="10"/>
      <c r="E410" s="52"/>
      <c r="F410" s="52"/>
      <c r="G410" s="52"/>
      <c r="H410" s="52"/>
      <c r="I410" s="52"/>
      <c r="J410" s="52"/>
      <c r="K410" s="52"/>
      <c r="L410" s="52"/>
      <c r="M410" s="52"/>
      <c r="N410" s="52"/>
      <c r="O410" s="52"/>
      <c r="P410" s="52"/>
      <c r="Q410" s="52"/>
      <c r="R410" s="52"/>
      <c r="S410" s="52"/>
      <c r="T410" s="17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1:40" ht="60" customHeight="1" x14ac:dyDescent="0.35">
      <c r="A411" s="14"/>
      <c r="B411" s="11"/>
      <c r="C411" s="11"/>
      <c r="D411" s="11"/>
      <c r="E411" s="53"/>
      <c r="F411" s="53"/>
      <c r="G411" s="53"/>
      <c r="H411" s="53"/>
      <c r="I411" s="53"/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17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1:40" ht="60" customHeight="1" x14ac:dyDescent="0.35">
      <c r="A412" s="13"/>
      <c r="B412" s="10"/>
      <c r="C412" s="10"/>
      <c r="D412" s="10"/>
      <c r="E412" s="52"/>
      <c r="F412" s="52"/>
      <c r="G412" s="52"/>
      <c r="H412" s="52"/>
      <c r="I412" s="52"/>
      <c r="J412" s="52"/>
      <c r="K412" s="52"/>
      <c r="L412" s="52"/>
      <c r="M412" s="52"/>
      <c r="N412" s="52"/>
      <c r="O412" s="52"/>
      <c r="P412" s="52"/>
      <c r="Q412" s="52"/>
      <c r="R412" s="52"/>
      <c r="S412" s="52"/>
      <c r="T412" s="17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1:40" ht="60" customHeight="1" x14ac:dyDescent="0.35">
      <c r="A413" s="14"/>
      <c r="B413" s="1"/>
      <c r="C413" s="1"/>
      <c r="D413" s="1"/>
      <c r="E413" s="50"/>
      <c r="F413" s="50"/>
      <c r="G413" s="50"/>
      <c r="H413" s="50"/>
      <c r="I413" s="50"/>
      <c r="J413" s="50"/>
      <c r="K413" s="50"/>
      <c r="L413" s="50"/>
      <c r="M413" s="50"/>
      <c r="N413" s="50"/>
      <c r="O413" s="50"/>
      <c r="P413" s="50"/>
      <c r="Q413" s="50"/>
      <c r="R413" s="50"/>
      <c r="S413" s="53"/>
      <c r="T413" s="17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1:40" ht="60" customHeight="1" x14ac:dyDescent="0.35">
      <c r="A414" s="13"/>
      <c r="B414" s="10"/>
      <c r="C414" s="10"/>
      <c r="D414" s="10"/>
      <c r="E414" s="52"/>
      <c r="F414" s="52"/>
      <c r="G414" s="52"/>
      <c r="H414" s="52"/>
      <c r="I414" s="52"/>
      <c r="J414" s="52"/>
      <c r="K414" s="52"/>
      <c r="L414" s="52"/>
      <c r="M414" s="52"/>
      <c r="N414" s="52"/>
      <c r="O414" s="52"/>
      <c r="P414" s="52"/>
      <c r="Q414" s="52"/>
      <c r="R414" s="52"/>
      <c r="S414" s="52"/>
      <c r="T414" s="17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1:40" ht="60" customHeight="1" x14ac:dyDescent="0.35">
      <c r="A415" s="14"/>
      <c r="B415" s="11"/>
      <c r="C415" s="11"/>
      <c r="D415" s="11"/>
      <c r="E415" s="53"/>
      <c r="F415" s="53"/>
      <c r="G415" s="53"/>
      <c r="H415" s="53"/>
      <c r="I415" s="53"/>
      <c r="J415" s="53"/>
      <c r="K415" s="53"/>
      <c r="L415" s="53"/>
      <c r="M415" s="53"/>
      <c r="N415" s="53"/>
      <c r="O415" s="53"/>
      <c r="P415" s="53"/>
      <c r="Q415" s="53"/>
      <c r="R415" s="53"/>
      <c r="S415" s="53"/>
      <c r="T415" s="17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1:40" ht="60" customHeight="1" x14ac:dyDescent="0.35">
      <c r="A416" s="13"/>
      <c r="B416" s="10"/>
      <c r="C416" s="10"/>
      <c r="D416" s="10"/>
      <c r="E416" s="52"/>
      <c r="F416" s="52"/>
      <c r="G416" s="52"/>
      <c r="H416" s="52"/>
      <c r="I416" s="52"/>
      <c r="J416" s="52"/>
      <c r="K416" s="52"/>
      <c r="L416" s="52"/>
      <c r="M416" s="52"/>
      <c r="N416" s="52"/>
      <c r="O416" s="52"/>
      <c r="P416" s="52"/>
      <c r="Q416" s="52"/>
      <c r="R416" s="52"/>
      <c r="S416" s="52"/>
      <c r="T416" s="17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1:40" ht="60" customHeight="1" x14ac:dyDescent="0.35">
      <c r="A417" s="14"/>
      <c r="B417" s="11"/>
      <c r="C417" s="11"/>
      <c r="D417" s="11"/>
      <c r="E417" s="53"/>
      <c r="F417" s="53"/>
      <c r="G417" s="53"/>
      <c r="H417" s="53"/>
      <c r="I417" s="53"/>
      <c r="J417" s="53"/>
      <c r="K417" s="53"/>
      <c r="L417" s="53"/>
      <c r="M417" s="53"/>
      <c r="N417" s="53"/>
      <c r="O417" s="53"/>
      <c r="P417" s="53"/>
      <c r="Q417" s="53"/>
      <c r="R417" s="53"/>
      <c r="S417" s="53"/>
      <c r="T417" s="17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1:40" ht="60" customHeight="1" x14ac:dyDescent="0.35">
      <c r="A418" s="13"/>
      <c r="B418" s="10"/>
      <c r="C418" s="10"/>
      <c r="D418" s="10"/>
      <c r="E418" s="52"/>
      <c r="F418" s="52"/>
      <c r="G418" s="52"/>
      <c r="H418" s="52"/>
      <c r="I418" s="52"/>
      <c r="J418" s="52"/>
      <c r="K418" s="52"/>
      <c r="L418" s="52"/>
      <c r="M418" s="52"/>
      <c r="N418" s="52"/>
      <c r="O418" s="52"/>
      <c r="P418" s="52"/>
      <c r="Q418" s="52"/>
      <c r="R418" s="52"/>
      <c r="S418" s="52"/>
      <c r="T418" s="17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1:40" ht="60" customHeight="1" x14ac:dyDescent="0.35">
      <c r="A419" s="14"/>
      <c r="B419" s="1"/>
      <c r="C419" s="1"/>
      <c r="D419" s="1"/>
      <c r="E419" s="50"/>
      <c r="F419" s="50"/>
      <c r="G419" s="50"/>
      <c r="H419" s="50"/>
      <c r="I419" s="50"/>
      <c r="J419" s="50"/>
      <c r="K419" s="50"/>
      <c r="L419" s="50"/>
      <c r="M419" s="50"/>
      <c r="N419" s="50"/>
      <c r="O419" s="50"/>
      <c r="P419" s="50"/>
      <c r="Q419" s="50"/>
      <c r="R419" s="50"/>
      <c r="S419" s="53"/>
      <c r="T419" s="17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1:40" ht="60" customHeight="1" x14ac:dyDescent="0.35">
      <c r="A420" s="13"/>
      <c r="B420" s="10"/>
      <c r="C420" s="10"/>
      <c r="D420" s="10"/>
      <c r="E420" s="52"/>
      <c r="F420" s="52"/>
      <c r="G420" s="52"/>
      <c r="H420" s="52"/>
      <c r="I420" s="52"/>
      <c r="J420" s="52"/>
      <c r="K420" s="52"/>
      <c r="L420" s="52"/>
      <c r="M420" s="52"/>
      <c r="N420" s="52"/>
      <c r="O420" s="52"/>
      <c r="P420" s="52"/>
      <c r="Q420" s="52"/>
      <c r="R420" s="52"/>
      <c r="S420" s="52"/>
      <c r="T420" s="17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1:40" ht="60" customHeight="1" x14ac:dyDescent="0.35">
      <c r="A421" s="14"/>
      <c r="B421" s="11"/>
      <c r="C421" s="11"/>
      <c r="D421" s="11"/>
      <c r="E421" s="53"/>
      <c r="F421" s="53"/>
      <c r="G421" s="53"/>
      <c r="H421" s="53"/>
      <c r="I421" s="53"/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17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1:40" ht="60" customHeight="1" x14ac:dyDescent="0.35">
      <c r="A422" s="13"/>
      <c r="B422" s="10"/>
      <c r="C422" s="10"/>
      <c r="D422" s="10"/>
      <c r="E422" s="52"/>
      <c r="F422" s="52"/>
      <c r="G422" s="52"/>
      <c r="H422" s="52"/>
      <c r="I422" s="52"/>
      <c r="J422" s="52"/>
      <c r="K422" s="52"/>
      <c r="L422" s="52"/>
      <c r="M422" s="52"/>
      <c r="N422" s="52"/>
      <c r="O422" s="52"/>
      <c r="P422" s="52"/>
      <c r="Q422" s="52"/>
      <c r="R422" s="52"/>
      <c r="S422" s="52"/>
      <c r="T422" s="17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1:40" ht="60" customHeight="1" x14ac:dyDescent="0.35">
      <c r="A423" s="14"/>
      <c r="B423" s="11"/>
      <c r="C423" s="11"/>
      <c r="D423" s="11"/>
      <c r="E423" s="53"/>
      <c r="F423" s="53"/>
      <c r="G423" s="53"/>
      <c r="H423" s="53"/>
      <c r="I423" s="53"/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17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1:40" ht="60" customHeight="1" x14ac:dyDescent="0.35">
      <c r="A424" s="13"/>
      <c r="B424" s="10"/>
      <c r="C424" s="10"/>
      <c r="D424" s="10"/>
      <c r="E424" s="52"/>
      <c r="F424" s="52"/>
      <c r="G424" s="52"/>
      <c r="H424" s="52"/>
      <c r="I424" s="52"/>
      <c r="J424" s="52"/>
      <c r="K424" s="52"/>
      <c r="L424" s="52"/>
      <c r="M424" s="52"/>
      <c r="N424" s="52"/>
      <c r="O424" s="52"/>
      <c r="P424" s="52"/>
      <c r="Q424" s="52"/>
      <c r="R424" s="52"/>
      <c r="S424" s="52"/>
      <c r="T424" s="17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1:40" ht="60" customHeight="1" x14ac:dyDescent="0.35">
      <c r="A425" s="14"/>
      <c r="B425" s="11"/>
      <c r="C425" s="11"/>
      <c r="D425" s="11"/>
      <c r="E425" s="53"/>
      <c r="F425" s="53"/>
      <c r="G425" s="53"/>
      <c r="H425" s="53"/>
      <c r="I425" s="53"/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17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1:40" ht="60" customHeight="1" x14ac:dyDescent="0.35">
      <c r="A426" s="13"/>
      <c r="B426" s="10"/>
      <c r="C426" s="10"/>
      <c r="D426" s="10"/>
      <c r="E426" s="52"/>
      <c r="F426" s="52"/>
      <c r="G426" s="52"/>
      <c r="H426" s="52"/>
      <c r="I426" s="52"/>
      <c r="J426" s="52"/>
      <c r="K426" s="52"/>
      <c r="L426" s="52"/>
      <c r="M426" s="52"/>
      <c r="N426" s="52"/>
      <c r="O426" s="52"/>
      <c r="P426" s="52"/>
      <c r="Q426" s="52"/>
      <c r="R426" s="52"/>
      <c r="S426" s="52"/>
      <c r="T426" s="17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1:40" ht="60" customHeight="1" x14ac:dyDescent="0.35">
      <c r="A427" s="14"/>
      <c r="B427" s="11"/>
      <c r="C427" s="11"/>
      <c r="D427" s="11"/>
      <c r="E427" s="53"/>
      <c r="F427" s="53"/>
      <c r="G427" s="53"/>
      <c r="H427" s="53"/>
      <c r="I427" s="53"/>
      <c r="J427" s="53"/>
      <c r="K427" s="53"/>
      <c r="L427" s="53"/>
      <c r="M427" s="53"/>
      <c r="N427" s="53"/>
      <c r="O427" s="53"/>
      <c r="P427" s="53"/>
      <c r="Q427" s="53"/>
      <c r="R427" s="53"/>
      <c r="S427" s="53"/>
      <c r="T427" s="17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1:40" ht="60" customHeight="1" x14ac:dyDescent="0.35">
      <c r="A428" s="13"/>
      <c r="B428" s="10"/>
      <c r="C428" s="10"/>
      <c r="D428" s="10"/>
      <c r="E428" s="52"/>
      <c r="F428" s="52"/>
      <c r="G428" s="52"/>
      <c r="H428" s="52"/>
      <c r="I428" s="52"/>
      <c r="J428" s="52"/>
      <c r="K428" s="52"/>
      <c r="L428" s="52"/>
      <c r="M428" s="52"/>
      <c r="N428" s="52"/>
      <c r="O428" s="52"/>
      <c r="P428" s="52"/>
      <c r="Q428" s="52"/>
      <c r="R428" s="52"/>
      <c r="S428" s="52"/>
      <c r="T428" s="17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1:40" ht="60" customHeight="1" x14ac:dyDescent="0.35">
      <c r="A429" s="14"/>
      <c r="B429" s="11"/>
      <c r="C429" s="11"/>
      <c r="D429" s="11"/>
      <c r="E429" s="53"/>
      <c r="F429" s="53"/>
      <c r="G429" s="53"/>
      <c r="H429" s="53"/>
      <c r="I429" s="53"/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17"/>
      <c r="U429" s="5" t="s">
        <v>12</v>
      </c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1:40" ht="60" customHeight="1" x14ac:dyDescent="0.35">
      <c r="A430" s="13"/>
      <c r="B430" s="10"/>
      <c r="C430" s="10"/>
      <c r="D430" s="10"/>
      <c r="E430" s="52"/>
      <c r="F430" s="52"/>
      <c r="G430" s="52"/>
      <c r="H430" s="52"/>
      <c r="I430" s="52"/>
      <c r="J430" s="52"/>
      <c r="K430" s="52"/>
      <c r="L430" s="52"/>
      <c r="M430" s="52"/>
      <c r="N430" s="52"/>
      <c r="O430" s="52"/>
      <c r="P430" s="52"/>
      <c r="Q430" s="52"/>
      <c r="R430" s="52"/>
      <c r="S430" s="52"/>
      <c r="T430" s="17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1:40" ht="60" customHeight="1" x14ac:dyDescent="0.35">
      <c r="A431" s="14"/>
      <c r="B431" s="11"/>
      <c r="C431" s="11"/>
      <c r="D431" s="11"/>
      <c r="E431" s="53"/>
      <c r="F431" s="53"/>
      <c r="G431" s="53"/>
      <c r="H431" s="53"/>
      <c r="I431" s="53"/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17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1:40" ht="60" customHeight="1" x14ac:dyDescent="0.35">
      <c r="A432" s="13"/>
      <c r="B432" s="10"/>
      <c r="C432" s="10"/>
      <c r="D432" s="10"/>
      <c r="E432" s="52"/>
      <c r="F432" s="52"/>
      <c r="G432" s="52"/>
      <c r="H432" s="52"/>
      <c r="I432" s="52"/>
      <c r="J432" s="52"/>
      <c r="K432" s="52"/>
      <c r="L432" s="52"/>
      <c r="M432" s="52"/>
      <c r="N432" s="52"/>
      <c r="O432" s="52"/>
      <c r="P432" s="52"/>
      <c r="Q432" s="52"/>
      <c r="R432" s="52"/>
      <c r="S432" s="52"/>
      <c r="T432" s="17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1:40" ht="60" customHeight="1" x14ac:dyDescent="0.35">
      <c r="A433" s="14"/>
      <c r="B433" s="1"/>
      <c r="C433" s="1"/>
      <c r="D433" s="1"/>
      <c r="E433" s="50"/>
      <c r="F433" s="50"/>
      <c r="G433" s="50"/>
      <c r="H433" s="50"/>
      <c r="I433" s="50"/>
      <c r="J433" s="50"/>
      <c r="K433" s="50"/>
      <c r="L433" s="50"/>
      <c r="M433" s="50"/>
      <c r="N433" s="50"/>
      <c r="O433" s="50"/>
      <c r="P433" s="50"/>
      <c r="Q433" s="50"/>
      <c r="R433" s="50"/>
      <c r="S433" s="53"/>
      <c r="T433" s="17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1:40" ht="60" customHeight="1" x14ac:dyDescent="0.35">
      <c r="A434" s="13"/>
      <c r="B434" s="10"/>
      <c r="C434" s="10"/>
      <c r="D434" s="10"/>
      <c r="E434" s="52"/>
      <c r="F434" s="52"/>
      <c r="G434" s="52"/>
      <c r="H434" s="52"/>
      <c r="I434" s="52"/>
      <c r="J434" s="52"/>
      <c r="K434" s="52"/>
      <c r="L434" s="52"/>
      <c r="M434" s="52"/>
      <c r="N434" s="52"/>
      <c r="O434" s="52"/>
      <c r="P434" s="52"/>
      <c r="Q434" s="52"/>
      <c r="R434" s="52"/>
      <c r="S434" s="52"/>
      <c r="T434" s="17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1:40" ht="60" customHeight="1" x14ac:dyDescent="0.35">
      <c r="A435" s="14"/>
      <c r="B435" s="11"/>
      <c r="C435" s="11"/>
      <c r="D435" s="11"/>
      <c r="E435" s="53"/>
      <c r="F435" s="53"/>
      <c r="G435" s="53"/>
      <c r="H435" s="53"/>
      <c r="I435" s="53"/>
      <c r="J435" s="53"/>
      <c r="K435" s="53"/>
      <c r="L435" s="53"/>
      <c r="M435" s="53"/>
      <c r="N435" s="53"/>
      <c r="O435" s="53"/>
      <c r="P435" s="53"/>
      <c r="Q435" s="53"/>
      <c r="R435" s="53"/>
      <c r="S435" s="53"/>
      <c r="T435" s="17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1:40" ht="60" customHeight="1" x14ac:dyDescent="0.35">
      <c r="A436" s="13"/>
      <c r="B436" s="10"/>
      <c r="C436" s="10"/>
      <c r="D436" s="10"/>
      <c r="E436" s="52"/>
      <c r="F436" s="52"/>
      <c r="G436" s="52"/>
      <c r="H436" s="52"/>
      <c r="I436" s="52"/>
      <c r="J436" s="52"/>
      <c r="K436" s="52"/>
      <c r="L436" s="52"/>
      <c r="M436" s="52"/>
      <c r="N436" s="52"/>
      <c r="O436" s="52"/>
      <c r="P436" s="52"/>
      <c r="Q436" s="52"/>
      <c r="R436" s="52"/>
      <c r="S436" s="52"/>
      <c r="T436" s="17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1:40" ht="60" customHeight="1" x14ac:dyDescent="0.35">
      <c r="A437" s="14"/>
      <c r="B437" s="11"/>
      <c r="C437" s="11"/>
      <c r="D437" s="11"/>
      <c r="E437" s="53"/>
      <c r="F437" s="53"/>
      <c r="G437" s="53"/>
      <c r="H437" s="53"/>
      <c r="I437" s="53"/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17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1:40" ht="60" customHeight="1" x14ac:dyDescent="0.35">
      <c r="A438" s="13"/>
      <c r="B438" s="10"/>
      <c r="C438" s="10"/>
      <c r="D438" s="10"/>
      <c r="E438" s="52"/>
      <c r="F438" s="52"/>
      <c r="G438" s="52"/>
      <c r="H438" s="52"/>
      <c r="I438" s="52"/>
      <c r="J438" s="52"/>
      <c r="K438" s="52"/>
      <c r="L438" s="52"/>
      <c r="M438" s="52"/>
      <c r="N438" s="52"/>
      <c r="O438" s="52"/>
      <c r="P438" s="52"/>
      <c r="Q438" s="52"/>
      <c r="R438" s="52"/>
      <c r="S438" s="52"/>
      <c r="T438" s="17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1:40" ht="60" customHeight="1" x14ac:dyDescent="0.35">
      <c r="A439" s="14"/>
      <c r="B439" s="1"/>
      <c r="C439" s="1"/>
      <c r="D439" s="1"/>
      <c r="E439" s="50"/>
      <c r="F439" s="50"/>
      <c r="G439" s="50"/>
      <c r="H439" s="50"/>
      <c r="I439" s="50"/>
      <c r="J439" s="50"/>
      <c r="K439" s="50"/>
      <c r="L439" s="50"/>
      <c r="M439" s="50"/>
      <c r="N439" s="50"/>
      <c r="O439" s="50"/>
      <c r="P439" s="50"/>
      <c r="Q439" s="50"/>
      <c r="R439" s="50"/>
      <c r="S439" s="50"/>
      <c r="T439" s="17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1:40" ht="60" customHeight="1" x14ac:dyDescent="0.35">
      <c r="A440" s="13"/>
      <c r="B440" s="10"/>
      <c r="C440" s="10"/>
      <c r="D440" s="10"/>
      <c r="E440" s="52"/>
      <c r="F440" s="52"/>
      <c r="G440" s="52"/>
      <c r="H440" s="52"/>
      <c r="I440" s="52"/>
      <c r="J440" s="52"/>
      <c r="K440" s="52"/>
      <c r="L440" s="52"/>
      <c r="M440" s="52"/>
      <c r="N440" s="52"/>
      <c r="O440" s="52"/>
      <c r="P440" s="52"/>
      <c r="Q440" s="52"/>
      <c r="R440" s="52"/>
      <c r="S440" s="52"/>
      <c r="T440" s="17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1:40" ht="60" customHeight="1" x14ac:dyDescent="0.35">
      <c r="A441" s="14"/>
      <c r="B441" s="1"/>
      <c r="C441" s="1"/>
      <c r="D441" s="1"/>
      <c r="E441" s="50"/>
      <c r="F441" s="50"/>
      <c r="G441" s="50"/>
      <c r="H441" s="50"/>
      <c r="I441" s="50"/>
      <c r="J441" s="50"/>
      <c r="K441" s="50"/>
      <c r="L441" s="50"/>
      <c r="M441" s="50"/>
      <c r="N441" s="50"/>
      <c r="O441" s="50"/>
      <c r="P441" s="50"/>
      <c r="Q441" s="50"/>
      <c r="R441" s="50"/>
      <c r="S441" s="50"/>
      <c r="T441" s="17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1:40" ht="60" customHeight="1" x14ac:dyDescent="0.35">
      <c r="A442" s="13"/>
      <c r="B442" s="10"/>
      <c r="C442" s="10"/>
      <c r="D442" s="10"/>
      <c r="E442" s="52"/>
      <c r="F442" s="52"/>
      <c r="G442" s="52"/>
      <c r="H442" s="52"/>
      <c r="I442" s="52"/>
      <c r="J442" s="52"/>
      <c r="K442" s="52"/>
      <c r="L442" s="52"/>
      <c r="M442" s="52"/>
      <c r="N442" s="52"/>
      <c r="O442" s="52"/>
      <c r="P442" s="52"/>
      <c r="Q442" s="52"/>
      <c r="R442" s="52"/>
      <c r="S442" s="52"/>
      <c r="T442" s="17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1:40" ht="60" customHeight="1" x14ac:dyDescent="0.35">
      <c r="A443" s="14"/>
      <c r="B443" s="11"/>
      <c r="C443" s="11"/>
      <c r="D443" s="11"/>
      <c r="E443" s="53"/>
      <c r="F443" s="53"/>
      <c r="G443" s="53"/>
      <c r="H443" s="53"/>
      <c r="I443" s="53"/>
      <c r="J443" s="53"/>
      <c r="K443" s="53"/>
      <c r="L443" s="53"/>
      <c r="M443" s="53"/>
      <c r="N443" s="53"/>
      <c r="O443" s="53"/>
      <c r="P443" s="53"/>
      <c r="Q443" s="53"/>
      <c r="R443" s="53"/>
      <c r="S443" s="53"/>
      <c r="T443" s="17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</row>
    <row r="444" spans="1:40" ht="60" customHeight="1" x14ac:dyDescent="0.35">
      <c r="A444" s="13"/>
      <c r="B444" s="10"/>
      <c r="C444" s="10"/>
      <c r="D444" s="10"/>
      <c r="E444" s="52"/>
      <c r="F444" s="52"/>
      <c r="G444" s="52"/>
      <c r="H444" s="52"/>
      <c r="I444" s="52"/>
      <c r="J444" s="52"/>
      <c r="K444" s="52"/>
      <c r="L444" s="52"/>
      <c r="M444" s="52"/>
      <c r="N444" s="52"/>
      <c r="O444" s="52"/>
      <c r="P444" s="52"/>
      <c r="Q444" s="52"/>
      <c r="R444" s="52"/>
      <c r="S444" s="52"/>
      <c r="T444" s="17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</row>
    <row r="445" spans="1:40" ht="60" customHeight="1" x14ac:dyDescent="0.35">
      <c r="A445" s="14"/>
      <c r="B445" s="11"/>
      <c r="C445" s="11"/>
      <c r="D445" s="11"/>
      <c r="E445" s="53"/>
      <c r="F445" s="53"/>
      <c r="G445" s="53"/>
      <c r="H445" s="53"/>
      <c r="I445" s="53"/>
      <c r="J445" s="53"/>
      <c r="K445" s="53"/>
      <c r="L445" s="53"/>
      <c r="M445" s="53"/>
      <c r="N445" s="53"/>
      <c r="O445" s="53"/>
      <c r="P445" s="53"/>
      <c r="Q445" s="53"/>
      <c r="R445" s="53"/>
      <c r="S445" s="53"/>
      <c r="T445" s="17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</row>
    <row r="446" spans="1:40" ht="60" customHeight="1" x14ac:dyDescent="0.35">
      <c r="A446" s="13"/>
      <c r="B446" s="10"/>
      <c r="C446" s="10"/>
      <c r="D446" s="10"/>
      <c r="E446" s="52"/>
      <c r="F446" s="52"/>
      <c r="G446" s="52"/>
      <c r="H446" s="52"/>
      <c r="I446" s="52"/>
      <c r="J446" s="52"/>
      <c r="K446" s="52"/>
      <c r="L446" s="52"/>
      <c r="M446" s="52"/>
      <c r="N446" s="52"/>
      <c r="O446" s="52"/>
      <c r="P446" s="52"/>
      <c r="Q446" s="52"/>
      <c r="R446" s="52"/>
      <c r="S446" s="52"/>
      <c r="T446" s="17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</row>
    <row r="447" spans="1:40" ht="60" customHeight="1" x14ac:dyDescent="0.35">
      <c r="A447" s="14"/>
      <c r="B447" s="1"/>
      <c r="C447" s="1"/>
      <c r="D447" s="1"/>
      <c r="E447" s="50"/>
      <c r="F447" s="50"/>
      <c r="G447" s="50"/>
      <c r="H447" s="50"/>
      <c r="I447" s="50"/>
      <c r="J447" s="50"/>
      <c r="K447" s="50"/>
      <c r="L447" s="50"/>
      <c r="M447" s="50"/>
      <c r="N447" s="50"/>
      <c r="O447" s="50"/>
      <c r="P447" s="50"/>
      <c r="Q447" s="50"/>
      <c r="R447" s="50"/>
      <c r="S447" s="50"/>
      <c r="T447" s="17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</row>
    <row r="448" spans="1:40" ht="60" customHeight="1" x14ac:dyDescent="0.35">
      <c r="A448" s="13"/>
      <c r="B448" s="10"/>
      <c r="C448" s="10"/>
      <c r="D448" s="10"/>
      <c r="E448" s="52"/>
      <c r="F448" s="52"/>
      <c r="G448" s="52"/>
      <c r="H448" s="52"/>
      <c r="I448" s="52"/>
      <c r="J448" s="52"/>
      <c r="K448" s="52"/>
      <c r="L448" s="52"/>
      <c r="M448" s="52"/>
      <c r="N448" s="52"/>
      <c r="O448" s="52"/>
      <c r="P448" s="52"/>
      <c r="Q448" s="52"/>
      <c r="R448" s="52"/>
      <c r="S448" s="52"/>
      <c r="T448" s="17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</row>
    <row r="449" spans="1:40" ht="60" customHeight="1" x14ac:dyDescent="0.35">
      <c r="A449" s="14"/>
      <c r="B449" s="1"/>
      <c r="C449" s="1"/>
      <c r="D449" s="1"/>
      <c r="E449" s="50"/>
      <c r="F449" s="50"/>
      <c r="G449" s="50"/>
      <c r="H449" s="50"/>
      <c r="I449" s="50"/>
      <c r="J449" s="50"/>
      <c r="K449" s="50"/>
      <c r="L449" s="50"/>
      <c r="M449" s="50"/>
      <c r="N449" s="50"/>
      <c r="O449" s="50"/>
      <c r="P449" s="50"/>
      <c r="Q449" s="50"/>
      <c r="R449" s="50"/>
      <c r="S449" s="50"/>
      <c r="T449" s="17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</row>
    <row r="450" spans="1:40" ht="60" customHeight="1" x14ac:dyDescent="0.35">
      <c r="A450" s="13"/>
      <c r="B450" s="10"/>
      <c r="C450" s="10"/>
      <c r="D450" s="10"/>
      <c r="E450" s="52"/>
      <c r="F450" s="52"/>
      <c r="G450" s="52"/>
      <c r="H450" s="52"/>
      <c r="I450" s="52"/>
      <c r="J450" s="52"/>
      <c r="K450" s="52"/>
      <c r="L450" s="52"/>
      <c r="M450" s="52"/>
      <c r="N450" s="52"/>
      <c r="O450" s="52"/>
      <c r="P450" s="52"/>
      <c r="Q450" s="52"/>
      <c r="R450" s="52"/>
      <c r="S450" s="52"/>
      <c r="T450" s="17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</row>
    <row r="451" spans="1:40" ht="60" customHeight="1" x14ac:dyDescent="0.35">
      <c r="A451" s="14"/>
      <c r="B451" s="1"/>
      <c r="C451" s="1"/>
      <c r="D451" s="1"/>
      <c r="E451" s="50"/>
      <c r="F451" s="50"/>
      <c r="G451" s="50"/>
      <c r="H451" s="50"/>
      <c r="I451" s="50"/>
      <c r="J451" s="50"/>
      <c r="K451" s="50"/>
      <c r="L451" s="50"/>
      <c r="M451" s="50"/>
      <c r="N451" s="50"/>
      <c r="O451" s="50"/>
      <c r="P451" s="50"/>
      <c r="Q451" s="50"/>
      <c r="R451" s="50"/>
      <c r="S451" s="50"/>
      <c r="T451" s="17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</row>
    <row r="452" spans="1:40" ht="60" customHeight="1" x14ac:dyDescent="0.35">
      <c r="A452" s="13"/>
      <c r="B452" s="10"/>
      <c r="C452" s="10"/>
      <c r="D452" s="10"/>
      <c r="E452" s="52"/>
      <c r="F452" s="52"/>
      <c r="G452" s="52"/>
      <c r="H452" s="52"/>
      <c r="I452" s="52"/>
      <c r="J452" s="52"/>
      <c r="K452" s="52"/>
      <c r="L452" s="52"/>
      <c r="M452" s="52"/>
      <c r="N452" s="52"/>
      <c r="O452" s="52"/>
      <c r="P452" s="52"/>
      <c r="Q452" s="52"/>
      <c r="R452" s="52"/>
      <c r="S452" s="52"/>
      <c r="T452" s="17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</row>
    <row r="453" spans="1:40" ht="60" customHeight="1" x14ac:dyDescent="0.35">
      <c r="A453" s="14"/>
      <c r="B453" s="1"/>
      <c r="C453" s="1"/>
      <c r="D453" s="1"/>
      <c r="E453" s="50"/>
      <c r="F453" s="50"/>
      <c r="G453" s="50"/>
      <c r="H453" s="50"/>
      <c r="I453" s="50"/>
      <c r="J453" s="50"/>
      <c r="K453" s="50"/>
      <c r="L453" s="50"/>
      <c r="M453" s="50"/>
      <c r="N453" s="50"/>
      <c r="O453" s="50"/>
      <c r="P453" s="50"/>
      <c r="Q453" s="50"/>
      <c r="R453" s="50"/>
      <c r="S453" s="50"/>
      <c r="T453" s="17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</row>
    <row r="454" spans="1:40" ht="60" customHeight="1" x14ac:dyDescent="0.35">
      <c r="A454" s="13"/>
      <c r="B454" s="10"/>
      <c r="C454" s="10"/>
      <c r="D454" s="10"/>
      <c r="E454" s="52"/>
      <c r="F454" s="52"/>
      <c r="G454" s="52"/>
      <c r="H454" s="52"/>
      <c r="I454" s="52"/>
      <c r="J454" s="52"/>
      <c r="K454" s="52"/>
      <c r="L454" s="52"/>
      <c r="M454" s="52"/>
      <c r="N454" s="52"/>
      <c r="O454" s="52"/>
      <c r="P454" s="52"/>
      <c r="Q454" s="52"/>
      <c r="R454" s="52"/>
      <c r="S454" s="52"/>
      <c r="T454" s="17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</row>
    <row r="455" spans="1:40" ht="60" customHeight="1" x14ac:dyDescent="0.35">
      <c r="A455" s="14"/>
      <c r="B455" s="1"/>
      <c r="C455" s="1"/>
      <c r="D455" s="1"/>
      <c r="E455" s="50"/>
      <c r="F455" s="50"/>
      <c r="G455" s="50"/>
      <c r="H455" s="50"/>
      <c r="I455" s="50"/>
      <c r="J455" s="50"/>
      <c r="K455" s="50"/>
      <c r="L455" s="50"/>
      <c r="M455" s="50"/>
      <c r="N455" s="50"/>
      <c r="O455" s="50"/>
      <c r="P455" s="50"/>
      <c r="Q455" s="50"/>
      <c r="R455" s="50"/>
      <c r="S455" s="50"/>
      <c r="T455" s="17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</row>
    <row r="456" spans="1:40" ht="60" customHeight="1" x14ac:dyDescent="0.35">
      <c r="A456" s="13"/>
      <c r="B456" s="10"/>
      <c r="C456" s="10"/>
      <c r="D456" s="10"/>
      <c r="E456" s="52"/>
      <c r="F456" s="52"/>
      <c r="G456" s="52"/>
      <c r="H456" s="52"/>
      <c r="I456" s="52"/>
      <c r="J456" s="52"/>
      <c r="K456" s="52"/>
      <c r="L456" s="52"/>
      <c r="M456" s="52"/>
      <c r="N456" s="52"/>
      <c r="O456" s="52"/>
      <c r="P456" s="52"/>
      <c r="Q456" s="52"/>
      <c r="R456" s="52"/>
      <c r="S456" s="52"/>
      <c r="T456" s="17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</row>
    <row r="457" spans="1:40" ht="60" customHeight="1" x14ac:dyDescent="0.35">
      <c r="A457" s="14"/>
      <c r="B457" s="11"/>
      <c r="C457" s="11"/>
      <c r="D457" s="11"/>
      <c r="E457" s="53"/>
      <c r="F457" s="53"/>
      <c r="G457" s="53"/>
      <c r="H457" s="53"/>
      <c r="I457" s="53"/>
      <c r="J457" s="53"/>
      <c r="K457" s="53"/>
      <c r="L457" s="53"/>
      <c r="M457" s="53"/>
      <c r="N457" s="53"/>
      <c r="O457" s="53"/>
      <c r="P457" s="53"/>
      <c r="Q457" s="53"/>
      <c r="R457" s="53"/>
      <c r="S457" s="53"/>
      <c r="T457" s="17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</row>
    <row r="458" spans="1:40" ht="60" customHeight="1" x14ac:dyDescent="0.35">
      <c r="A458" s="13"/>
      <c r="B458" s="10"/>
      <c r="C458" s="10"/>
      <c r="D458" s="10"/>
      <c r="E458" s="52"/>
      <c r="F458" s="52"/>
      <c r="G458" s="52"/>
      <c r="H458" s="52"/>
      <c r="I458" s="52"/>
      <c r="J458" s="52"/>
      <c r="K458" s="52"/>
      <c r="L458" s="52"/>
      <c r="M458" s="52"/>
      <c r="N458" s="52"/>
      <c r="O458" s="52"/>
      <c r="P458" s="52"/>
      <c r="Q458" s="52"/>
      <c r="R458" s="52"/>
      <c r="S458" s="52"/>
      <c r="T458" s="17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</row>
    <row r="459" spans="1:40" ht="60" customHeight="1" x14ac:dyDescent="0.35">
      <c r="A459" s="14"/>
      <c r="B459" s="1"/>
      <c r="C459" s="1"/>
      <c r="D459" s="1"/>
      <c r="E459" s="50"/>
      <c r="F459" s="50"/>
      <c r="G459" s="50"/>
      <c r="H459" s="50"/>
      <c r="I459" s="50"/>
      <c r="J459" s="50"/>
      <c r="K459" s="50"/>
      <c r="L459" s="50"/>
      <c r="M459" s="50"/>
      <c r="N459" s="50"/>
      <c r="O459" s="50"/>
      <c r="P459" s="50"/>
      <c r="Q459" s="50"/>
      <c r="R459" s="50"/>
      <c r="S459" s="50"/>
      <c r="T459" s="17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</row>
    <row r="460" spans="1:40" ht="60" customHeight="1" x14ac:dyDescent="0.35">
      <c r="A460" s="13"/>
      <c r="B460" s="10"/>
      <c r="C460" s="10"/>
      <c r="D460" s="10"/>
      <c r="E460" s="52"/>
      <c r="F460" s="52"/>
      <c r="G460" s="52"/>
      <c r="H460" s="52"/>
      <c r="I460" s="52"/>
      <c r="J460" s="52"/>
      <c r="K460" s="52"/>
      <c r="L460" s="52"/>
      <c r="M460" s="52"/>
      <c r="N460" s="52"/>
      <c r="O460" s="52"/>
      <c r="P460" s="52"/>
      <c r="Q460" s="52"/>
      <c r="R460" s="52"/>
      <c r="S460" s="52"/>
      <c r="T460" s="17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</row>
    <row r="461" spans="1:40" ht="60" customHeight="1" x14ac:dyDescent="0.35">
      <c r="A461" s="14"/>
      <c r="B461" s="11"/>
      <c r="C461" s="11"/>
      <c r="D461" s="11"/>
      <c r="E461" s="53"/>
      <c r="F461" s="53"/>
      <c r="G461" s="53"/>
      <c r="H461" s="53"/>
      <c r="I461" s="53"/>
      <c r="J461" s="53"/>
      <c r="K461" s="53"/>
      <c r="L461" s="53"/>
      <c r="M461" s="53"/>
      <c r="N461" s="53"/>
      <c r="O461" s="53"/>
      <c r="P461" s="53"/>
      <c r="Q461" s="53"/>
      <c r="R461" s="53"/>
      <c r="S461" s="53"/>
      <c r="T461" s="17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</row>
    <row r="462" spans="1:40" ht="60" customHeight="1" x14ac:dyDescent="0.35">
      <c r="A462" s="13"/>
      <c r="B462" s="10"/>
      <c r="C462" s="10"/>
      <c r="D462" s="10"/>
      <c r="E462" s="52"/>
      <c r="F462" s="52"/>
      <c r="G462" s="52"/>
      <c r="H462" s="52"/>
      <c r="I462" s="52"/>
      <c r="J462" s="52"/>
      <c r="K462" s="52"/>
      <c r="L462" s="52"/>
      <c r="M462" s="52"/>
      <c r="N462" s="52"/>
      <c r="O462" s="52"/>
      <c r="P462" s="52"/>
      <c r="Q462" s="52"/>
      <c r="R462" s="52"/>
      <c r="S462" s="52"/>
      <c r="T462" s="17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</row>
    <row r="463" spans="1:40" ht="60" customHeight="1" x14ac:dyDescent="0.35">
      <c r="A463" s="14"/>
      <c r="B463" s="1"/>
      <c r="C463" s="1"/>
      <c r="D463" s="1"/>
      <c r="E463" s="50"/>
      <c r="F463" s="50"/>
      <c r="G463" s="50"/>
      <c r="H463" s="50"/>
      <c r="I463" s="50"/>
      <c r="J463" s="50"/>
      <c r="K463" s="50"/>
      <c r="L463" s="50"/>
      <c r="M463" s="50"/>
      <c r="N463" s="50"/>
      <c r="O463" s="50"/>
      <c r="P463" s="50"/>
      <c r="Q463" s="50"/>
      <c r="R463" s="50"/>
      <c r="S463" s="50"/>
      <c r="T463" s="17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</row>
    <row r="464" spans="1:40" ht="60" customHeight="1" x14ac:dyDescent="0.35">
      <c r="A464" s="13"/>
      <c r="B464" s="10"/>
      <c r="C464" s="10"/>
      <c r="D464" s="10"/>
      <c r="E464" s="52"/>
      <c r="F464" s="52"/>
      <c r="G464" s="52"/>
      <c r="H464" s="52"/>
      <c r="I464" s="52"/>
      <c r="J464" s="52"/>
      <c r="K464" s="52"/>
      <c r="L464" s="52"/>
      <c r="M464" s="52"/>
      <c r="N464" s="52"/>
      <c r="O464" s="52"/>
      <c r="P464" s="52"/>
      <c r="Q464" s="52"/>
      <c r="R464" s="52"/>
      <c r="S464" s="52"/>
      <c r="T464" s="17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</row>
    <row r="465" spans="1:40" ht="60" customHeight="1" x14ac:dyDescent="0.35">
      <c r="A465" s="14"/>
      <c r="B465" s="11"/>
      <c r="C465" s="11"/>
      <c r="D465" s="11"/>
      <c r="E465" s="53"/>
      <c r="F465" s="53"/>
      <c r="G465" s="53"/>
      <c r="H465" s="53"/>
      <c r="I465" s="53"/>
      <c r="J465" s="53"/>
      <c r="K465" s="53"/>
      <c r="L465" s="53"/>
      <c r="M465" s="53"/>
      <c r="N465" s="53"/>
      <c r="O465" s="53"/>
      <c r="P465" s="53"/>
      <c r="Q465" s="53"/>
      <c r="R465" s="53"/>
      <c r="S465" s="53"/>
      <c r="T465" s="17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</row>
    <row r="466" spans="1:40" ht="60" customHeight="1" x14ac:dyDescent="0.35">
      <c r="A466" s="13"/>
      <c r="B466" s="10"/>
      <c r="C466" s="10"/>
      <c r="D466" s="10"/>
      <c r="E466" s="52"/>
      <c r="F466" s="52"/>
      <c r="G466" s="52"/>
      <c r="H466" s="52"/>
      <c r="I466" s="52"/>
      <c r="J466" s="52"/>
      <c r="K466" s="52"/>
      <c r="L466" s="52"/>
      <c r="M466" s="52"/>
      <c r="N466" s="52"/>
      <c r="O466" s="52"/>
      <c r="P466" s="52"/>
      <c r="Q466" s="52"/>
      <c r="R466" s="52"/>
      <c r="S466" s="52"/>
      <c r="T466" s="17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</row>
    <row r="467" spans="1:40" ht="60" customHeight="1" x14ac:dyDescent="0.35">
      <c r="A467" s="14"/>
      <c r="B467" s="1"/>
      <c r="C467" s="1"/>
      <c r="D467" s="1"/>
      <c r="E467" s="50"/>
      <c r="F467" s="50"/>
      <c r="G467" s="50"/>
      <c r="H467" s="50"/>
      <c r="I467" s="50"/>
      <c r="J467" s="50"/>
      <c r="K467" s="50"/>
      <c r="L467" s="50"/>
      <c r="M467" s="50"/>
      <c r="N467" s="50"/>
      <c r="O467" s="50"/>
      <c r="P467" s="50"/>
      <c r="Q467" s="50"/>
      <c r="R467" s="50"/>
      <c r="S467" s="50"/>
      <c r="T467" s="17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</row>
    <row r="468" spans="1:40" ht="60" customHeight="1" x14ac:dyDescent="0.35">
      <c r="A468" s="13"/>
      <c r="B468" s="10"/>
      <c r="C468" s="10"/>
      <c r="D468" s="10"/>
      <c r="E468" s="52"/>
      <c r="F468" s="52"/>
      <c r="G468" s="52"/>
      <c r="H468" s="52"/>
      <c r="I468" s="52"/>
      <c r="J468" s="52"/>
      <c r="K468" s="52"/>
      <c r="L468" s="52"/>
      <c r="M468" s="52"/>
      <c r="N468" s="52"/>
      <c r="O468" s="52"/>
      <c r="P468" s="52"/>
      <c r="Q468" s="52"/>
      <c r="R468" s="52"/>
      <c r="S468" s="52"/>
      <c r="T468" s="17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</row>
    <row r="469" spans="1:40" ht="60" customHeight="1" x14ac:dyDescent="0.35">
      <c r="A469" s="14"/>
      <c r="B469" s="1"/>
      <c r="C469" s="1"/>
      <c r="D469" s="1"/>
      <c r="E469" s="50"/>
      <c r="F469" s="50"/>
      <c r="G469" s="50"/>
      <c r="H469" s="50"/>
      <c r="I469" s="50"/>
      <c r="J469" s="50"/>
      <c r="K469" s="50"/>
      <c r="L469" s="50"/>
      <c r="M469" s="50"/>
      <c r="N469" s="50"/>
      <c r="O469" s="50"/>
      <c r="P469" s="50"/>
      <c r="Q469" s="50"/>
      <c r="R469" s="50"/>
      <c r="S469" s="53"/>
      <c r="T469" s="17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</row>
    <row r="470" spans="1:40" ht="60" customHeight="1" x14ac:dyDescent="0.35">
      <c r="A470" s="13"/>
      <c r="B470" s="10"/>
      <c r="C470" s="10"/>
      <c r="D470" s="10"/>
      <c r="E470" s="52"/>
      <c r="F470" s="52"/>
      <c r="G470" s="52"/>
      <c r="H470" s="52"/>
      <c r="I470" s="52"/>
      <c r="J470" s="52"/>
      <c r="K470" s="52"/>
      <c r="L470" s="52"/>
      <c r="M470" s="52"/>
      <c r="N470" s="52"/>
      <c r="O470" s="52"/>
      <c r="P470" s="52"/>
      <c r="Q470" s="52"/>
      <c r="R470" s="52"/>
      <c r="S470" s="52"/>
      <c r="T470" s="17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</row>
    <row r="471" spans="1:40" ht="60" customHeight="1" x14ac:dyDescent="0.35">
      <c r="A471" s="14"/>
      <c r="B471" s="1"/>
      <c r="C471" s="1"/>
      <c r="D471" s="1"/>
      <c r="E471" s="50"/>
      <c r="F471" s="50"/>
      <c r="G471" s="50"/>
      <c r="H471" s="50"/>
      <c r="I471" s="50"/>
      <c r="J471" s="50"/>
      <c r="K471" s="50"/>
      <c r="L471" s="50"/>
      <c r="M471" s="50"/>
      <c r="N471" s="50"/>
      <c r="O471" s="50"/>
      <c r="P471" s="50"/>
      <c r="Q471" s="50"/>
      <c r="R471" s="50"/>
      <c r="S471" s="50"/>
      <c r="T471" s="17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</row>
    <row r="472" spans="1:40" ht="60" customHeight="1" x14ac:dyDescent="0.35">
      <c r="A472" s="13"/>
      <c r="B472" s="10"/>
      <c r="C472" s="10"/>
      <c r="D472" s="10"/>
      <c r="E472" s="52"/>
      <c r="F472" s="52"/>
      <c r="G472" s="52"/>
      <c r="H472" s="52"/>
      <c r="I472" s="52"/>
      <c r="J472" s="52"/>
      <c r="K472" s="52"/>
      <c r="L472" s="52"/>
      <c r="M472" s="52"/>
      <c r="N472" s="52"/>
      <c r="O472" s="52"/>
      <c r="P472" s="52"/>
      <c r="Q472" s="52"/>
      <c r="R472" s="52"/>
      <c r="S472" s="52"/>
      <c r="T472" s="17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</row>
    <row r="473" spans="1:40" ht="60" customHeight="1" x14ac:dyDescent="0.35">
      <c r="A473" s="14"/>
      <c r="B473" s="11"/>
      <c r="C473" s="11"/>
      <c r="D473" s="11"/>
      <c r="E473" s="53"/>
      <c r="F473" s="53"/>
      <c r="G473" s="53"/>
      <c r="H473" s="53"/>
      <c r="I473" s="53"/>
      <c r="J473" s="53"/>
      <c r="K473" s="53"/>
      <c r="L473" s="53"/>
      <c r="M473" s="53"/>
      <c r="N473" s="53"/>
      <c r="O473" s="53"/>
      <c r="P473" s="53"/>
      <c r="Q473" s="53"/>
      <c r="R473" s="53"/>
      <c r="S473" s="53"/>
      <c r="T473" s="17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</row>
    <row r="474" spans="1:40" ht="60" customHeight="1" x14ac:dyDescent="0.35">
      <c r="A474" s="13"/>
      <c r="B474" s="10"/>
      <c r="C474" s="10"/>
      <c r="D474" s="10"/>
      <c r="E474" s="52"/>
      <c r="F474" s="52"/>
      <c r="G474" s="52"/>
      <c r="H474" s="52"/>
      <c r="I474" s="52"/>
      <c r="J474" s="52"/>
      <c r="K474" s="52"/>
      <c r="L474" s="52"/>
      <c r="M474" s="52"/>
      <c r="N474" s="52"/>
      <c r="O474" s="52"/>
      <c r="P474" s="52"/>
      <c r="Q474" s="52"/>
      <c r="R474" s="52"/>
      <c r="S474" s="52"/>
      <c r="T474" s="17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</row>
    <row r="475" spans="1:40" ht="60" customHeight="1" x14ac:dyDescent="0.35">
      <c r="A475" s="14"/>
      <c r="B475" s="1"/>
      <c r="C475" s="1"/>
      <c r="D475" s="1"/>
      <c r="E475" s="50"/>
      <c r="F475" s="50"/>
      <c r="G475" s="50"/>
      <c r="H475" s="50"/>
      <c r="I475" s="50"/>
      <c r="J475" s="50"/>
      <c r="K475" s="50"/>
      <c r="L475" s="50"/>
      <c r="M475" s="50"/>
      <c r="N475" s="50"/>
      <c r="O475" s="50"/>
      <c r="P475" s="50"/>
      <c r="Q475" s="50"/>
      <c r="R475" s="50"/>
      <c r="S475" s="50"/>
      <c r="T475" s="17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</row>
    <row r="476" spans="1:40" ht="60" customHeight="1" x14ac:dyDescent="0.35">
      <c r="A476" s="13"/>
      <c r="B476" s="10"/>
      <c r="C476" s="10"/>
      <c r="D476" s="10"/>
      <c r="E476" s="52"/>
      <c r="F476" s="52"/>
      <c r="G476" s="52"/>
      <c r="H476" s="52"/>
      <c r="I476" s="52"/>
      <c r="J476" s="52"/>
      <c r="K476" s="52"/>
      <c r="L476" s="52"/>
      <c r="M476" s="52"/>
      <c r="N476" s="52"/>
      <c r="O476" s="52"/>
      <c r="P476" s="52"/>
      <c r="Q476" s="52"/>
      <c r="R476" s="52"/>
      <c r="S476" s="52"/>
      <c r="T476" s="17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</row>
    <row r="477" spans="1:40" ht="60" customHeight="1" x14ac:dyDescent="0.35">
      <c r="A477" s="14"/>
      <c r="B477" s="1"/>
      <c r="C477" s="1"/>
      <c r="D477" s="1"/>
      <c r="E477" s="50"/>
      <c r="F477" s="50"/>
      <c r="G477" s="50"/>
      <c r="H477" s="50"/>
      <c r="I477" s="50"/>
      <c r="J477" s="50"/>
      <c r="K477" s="50"/>
      <c r="L477" s="50"/>
      <c r="M477" s="50"/>
      <c r="N477" s="50"/>
      <c r="O477" s="50"/>
      <c r="P477" s="50"/>
      <c r="Q477" s="50"/>
      <c r="R477" s="50"/>
      <c r="S477" s="50"/>
      <c r="T477" s="17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</row>
    <row r="478" spans="1:40" ht="60" customHeight="1" x14ac:dyDescent="0.35">
      <c r="A478" s="13"/>
      <c r="B478" s="10"/>
      <c r="C478" s="10"/>
      <c r="D478" s="10"/>
      <c r="E478" s="52"/>
      <c r="F478" s="52"/>
      <c r="G478" s="52"/>
      <c r="H478" s="52"/>
      <c r="I478" s="52"/>
      <c r="J478" s="52"/>
      <c r="K478" s="52"/>
      <c r="L478" s="52"/>
      <c r="M478" s="52"/>
      <c r="N478" s="52"/>
      <c r="O478" s="52"/>
      <c r="P478" s="52"/>
      <c r="Q478" s="52"/>
      <c r="R478" s="52"/>
      <c r="S478" s="52"/>
      <c r="T478" s="17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</row>
    <row r="479" spans="1:40" ht="60" customHeight="1" x14ac:dyDescent="0.35">
      <c r="A479" s="14"/>
      <c r="B479" s="11"/>
      <c r="C479" s="11"/>
      <c r="D479" s="11"/>
      <c r="E479" s="53"/>
      <c r="F479" s="53"/>
      <c r="G479" s="53"/>
      <c r="H479" s="53"/>
      <c r="I479" s="53"/>
      <c r="J479" s="53"/>
      <c r="K479" s="53"/>
      <c r="L479" s="53"/>
      <c r="M479" s="53"/>
      <c r="N479" s="53"/>
      <c r="O479" s="53"/>
      <c r="P479" s="53"/>
      <c r="Q479" s="53"/>
      <c r="R479" s="53"/>
      <c r="S479" s="53"/>
      <c r="T479" s="17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</row>
    <row r="480" spans="1:40" ht="60" customHeight="1" x14ac:dyDescent="0.35">
      <c r="A480" s="13"/>
      <c r="B480" s="10"/>
      <c r="C480" s="10"/>
      <c r="D480" s="10"/>
      <c r="E480" s="52"/>
      <c r="F480" s="52"/>
      <c r="G480" s="52"/>
      <c r="H480" s="52"/>
      <c r="I480" s="52"/>
      <c r="J480" s="52"/>
      <c r="K480" s="52"/>
      <c r="L480" s="52"/>
      <c r="M480" s="52"/>
      <c r="N480" s="52"/>
      <c r="O480" s="52"/>
      <c r="P480" s="52"/>
      <c r="Q480" s="52"/>
      <c r="R480" s="52"/>
      <c r="S480" s="52"/>
      <c r="T480" s="17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</row>
    <row r="481" spans="1:40" ht="60" customHeight="1" x14ac:dyDescent="0.35">
      <c r="A481" s="14"/>
      <c r="B481" s="1"/>
      <c r="C481" s="1"/>
      <c r="D481" s="1"/>
      <c r="E481" s="50"/>
      <c r="F481" s="50"/>
      <c r="G481" s="50"/>
      <c r="H481" s="50"/>
      <c r="I481" s="50"/>
      <c r="J481" s="50"/>
      <c r="K481" s="50"/>
      <c r="L481" s="50"/>
      <c r="M481" s="50"/>
      <c r="N481" s="50"/>
      <c r="O481" s="50"/>
      <c r="P481" s="50"/>
      <c r="Q481" s="50"/>
      <c r="R481" s="50"/>
      <c r="S481" s="50"/>
      <c r="T481" s="17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</row>
    <row r="482" spans="1:40" ht="60" customHeight="1" x14ac:dyDescent="0.35">
      <c r="A482" s="13"/>
      <c r="B482" s="10"/>
      <c r="C482" s="10"/>
      <c r="D482" s="10"/>
      <c r="E482" s="52"/>
      <c r="F482" s="52"/>
      <c r="G482" s="52"/>
      <c r="H482" s="52"/>
      <c r="I482" s="52"/>
      <c r="J482" s="52"/>
      <c r="K482" s="52"/>
      <c r="L482" s="52"/>
      <c r="M482" s="52"/>
      <c r="N482" s="52"/>
      <c r="O482" s="52"/>
      <c r="P482" s="52"/>
      <c r="Q482" s="52"/>
      <c r="R482" s="52"/>
      <c r="S482" s="52"/>
      <c r="T482" s="17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</row>
    <row r="483" spans="1:40" ht="60" customHeight="1" x14ac:dyDescent="0.35">
      <c r="A483" s="14"/>
      <c r="B483" s="1"/>
      <c r="C483" s="1"/>
      <c r="D483" s="1"/>
      <c r="E483" s="50"/>
      <c r="F483" s="50"/>
      <c r="G483" s="50"/>
      <c r="H483" s="50"/>
      <c r="I483" s="50"/>
      <c r="J483" s="50"/>
      <c r="K483" s="50"/>
      <c r="L483" s="50"/>
      <c r="M483" s="50"/>
      <c r="N483" s="50"/>
      <c r="O483" s="50"/>
      <c r="P483" s="50"/>
      <c r="Q483" s="50"/>
      <c r="R483" s="50"/>
      <c r="S483" s="50"/>
      <c r="T483" s="17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</row>
    <row r="484" spans="1:40" ht="60" customHeight="1" x14ac:dyDescent="0.35">
      <c r="A484" s="13"/>
      <c r="B484" s="10"/>
      <c r="C484" s="10"/>
      <c r="D484" s="10"/>
      <c r="E484" s="52"/>
      <c r="F484" s="52"/>
      <c r="G484" s="52"/>
      <c r="H484" s="52"/>
      <c r="I484" s="52"/>
      <c r="J484" s="52"/>
      <c r="K484" s="52"/>
      <c r="L484" s="52"/>
      <c r="M484" s="52"/>
      <c r="N484" s="52"/>
      <c r="O484" s="52"/>
      <c r="P484" s="52"/>
      <c r="Q484" s="52"/>
      <c r="R484" s="52"/>
      <c r="S484" s="52"/>
      <c r="T484" s="17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</row>
    <row r="485" spans="1:40" ht="60" customHeight="1" x14ac:dyDescent="0.35">
      <c r="A485" s="14"/>
      <c r="B485" s="11"/>
      <c r="C485" s="11"/>
      <c r="D485" s="11"/>
      <c r="E485" s="53"/>
      <c r="F485" s="53"/>
      <c r="G485" s="53"/>
      <c r="H485" s="53"/>
      <c r="I485" s="53"/>
      <c r="J485" s="53"/>
      <c r="K485" s="53"/>
      <c r="L485" s="53"/>
      <c r="M485" s="53"/>
      <c r="N485" s="53"/>
      <c r="O485" s="53"/>
      <c r="P485" s="53"/>
      <c r="Q485" s="53"/>
      <c r="R485" s="53"/>
      <c r="S485" s="53"/>
      <c r="T485" s="17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</row>
    <row r="486" spans="1:40" ht="60" customHeight="1" x14ac:dyDescent="0.35">
      <c r="A486" s="13"/>
      <c r="B486" s="10"/>
      <c r="C486" s="10"/>
      <c r="D486" s="10"/>
      <c r="E486" s="52"/>
      <c r="F486" s="52"/>
      <c r="G486" s="52"/>
      <c r="H486" s="52"/>
      <c r="I486" s="52"/>
      <c r="J486" s="52"/>
      <c r="K486" s="52"/>
      <c r="L486" s="52"/>
      <c r="M486" s="52"/>
      <c r="N486" s="52"/>
      <c r="O486" s="52"/>
      <c r="P486" s="52"/>
      <c r="Q486" s="52"/>
      <c r="R486" s="52"/>
      <c r="S486" s="52"/>
      <c r="T486" s="17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</row>
    <row r="487" spans="1:40" ht="60" customHeight="1" x14ac:dyDescent="0.35">
      <c r="A487" s="14"/>
      <c r="B487" s="11"/>
      <c r="C487" s="11"/>
      <c r="D487" s="11"/>
      <c r="E487" s="53"/>
      <c r="F487" s="53"/>
      <c r="G487" s="53"/>
      <c r="H487" s="53"/>
      <c r="I487" s="53"/>
      <c r="J487" s="53"/>
      <c r="K487" s="53"/>
      <c r="L487" s="53"/>
      <c r="M487" s="53"/>
      <c r="N487" s="53"/>
      <c r="O487" s="53"/>
      <c r="P487" s="53"/>
      <c r="Q487" s="53"/>
      <c r="R487" s="53"/>
      <c r="S487" s="53"/>
      <c r="T487" s="17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</row>
    <row r="488" spans="1:40" ht="60" customHeight="1" x14ac:dyDescent="0.35">
      <c r="A488" s="13"/>
      <c r="B488" s="10"/>
      <c r="C488" s="10"/>
      <c r="D488" s="10"/>
      <c r="E488" s="52"/>
      <c r="F488" s="52"/>
      <c r="G488" s="52"/>
      <c r="H488" s="52"/>
      <c r="I488" s="52"/>
      <c r="J488" s="52"/>
      <c r="K488" s="52"/>
      <c r="L488" s="52"/>
      <c r="M488" s="52"/>
      <c r="N488" s="52"/>
      <c r="O488" s="52"/>
      <c r="P488" s="52"/>
      <c r="Q488" s="52"/>
      <c r="R488" s="52"/>
      <c r="S488" s="52"/>
      <c r="T488" s="17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</row>
    <row r="489" spans="1:40" ht="60" customHeight="1" x14ac:dyDescent="0.35">
      <c r="A489" s="14"/>
      <c r="B489" s="11"/>
      <c r="C489" s="11"/>
      <c r="D489" s="11"/>
      <c r="E489" s="53"/>
      <c r="F489" s="53"/>
      <c r="G489" s="53"/>
      <c r="H489" s="53"/>
      <c r="I489" s="53"/>
      <c r="J489" s="53"/>
      <c r="K489" s="53"/>
      <c r="L489" s="53"/>
      <c r="M489" s="53"/>
      <c r="N489" s="53"/>
      <c r="O489" s="53"/>
      <c r="P489" s="53"/>
      <c r="Q489" s="53"/>
      <c r="R489" s="53"/>
      <c r="S489" s="53"/>
      <c r="T489" s="17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</row>
    <row r="490" spans="1:40" ht="60" customHeight="1" x14ac:dyDescent="0.35">
      <c r="A490" s="13"/>
      <c r="B490" s="10"/>
      <c r="C490" s="10"/>
      <c r="D490" s="10"/>
      <c r="E490" s="52"/>
      <c r="F490" s="52"/>
      <c r="G490" s="52"/>
      <c r="H490" s="52"/>
      <c r="I490" s="52"/>
      <c r="J490" s="52"/>
      <c r="K490" s="52"/>
      <c r="L490" s="52"/>
      <c r="M490" s="52"/>
      <c r="N490" s="52"/>
      <c r="O490" s="52"/>
      <c r="P490" s="52"/>
      <c r="Q490" s="52"/>
      <c r="R490" s="52"/>
      <c r="S490" s="52"/>
      <c r="T490" s="17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</row>
    <row r="491" spans="1:40" ht="60" customHeight="1" x14ac:dyDescent="0.35">
      <c r="A491" s="14"/>
      <c r="B491" s="11"/>
      <c r="C491" s="11"/>
      <c r="D491" s="11"/>
      <c r="E491" s="53"/>
      <c r="F491" s="53"/>
      <c r="G491" s="53"/>
      <c r="H491" s="53"/>
      <c r="I491" s="53"/>
      <c r="J491" s="53"/>
      <c r="K491" s="53"/>
      <c r="L491" s="53"/>
      <c r="M491" s="53"/>
      <c r="N491" s="53"/>
      <c r="O491" s="53"/>
      <c r="P491" s="53"/>
      <c r="Q491" s="53"/>
      <c r="R491" s="53"/>
      <c r="S491" s="53"/>
      <c r="T491" s="17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</row>
    <row r="492" spans="1:40" ht="60" customHeight="1" x14ac:dyDescent="0.35">
      <c r="A492" s="13"/>
      <c r="B492" s="10"/>
      <c r="C492" s="10"/>
      <c r="D492" s="10"/>
      <c r="E492" s="52"/>
      <c r="F492" s="52"/>
      <c r="G492" s="52"/>
      <c r="H492" s="52"/>
      <c r="I492" s="52"/>
      <c r="J492" s="52"/>
      <c r="K492" s="52"/>
      <c r="L492" s="52"/>
      <c r="M492" s="52"/>
      <c r="N492" s="52"/>
      <c r="O492" s="52"/>
      <c r="P492" s="52"/>
      <c r="Q492" s="52"/>
      <c r="R492" s="52"/>
      <c r="S492" s="52"/>
      <c r="T492" s="17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</row>
    <row r="493" spans="1:40" ht="60" customHeight="1" x14ac:dyDescent="0.35">
      <c r="A493" s="14"/>
      <c r="B493" s="1"/>
      <c r="C493" s="1"/>
      <c r="D493" s="1"/>
      <c r="E493" s="50"/>
      <c r="F493" s="50"/>
      <c r="G493" s="50"/>
      <c r="H493" s="50"/>
      <c r="I493" s="50"/>
      <c r="J493" s="50"/>
      <c r="K493" s="50"/>
      <c r="L493" s="50"/>
      <c r="M493" s="50"/>
      <c r="N493" s="50"/>
      <c r="O493" s="50"/>
      <c r="P493" s="50"/>
      <c r="Q493" s="50"/>
      <c r="R493" s="50"/>
      <c r="S493" s="50"/>
      <c r="T493" s="17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</row>
    <row r="494" spans="1:40" ht="60" customHeight="1" x14ac:dyDescent="0.35">
      <c r="A494" s="13"/>
      <c r="B494" s="10"/>
      <c r="C494" s="10"/>
      <c r="D494" s="10"/>
      <c r="E494" s="52"/>
      <c r="F494" s="52"/>
      <c r="G494" s="52"/>
      <c r="H494" s="52"/>
      <c r="I494" s="52"/>
      <c r="J494" s="52"/>
      <c r="K494" s="52"/>
      <c r="L494" s="52"/>
      <c r="M494" s="52"/>
      <c r="N494" s="52"/>
      <c r="O494" s="52"/>
      <c r="P494" s="52"/>
      <c r="Q494" s="52"/>
      <c r="R494" s="52"/>
      <c r="S494" s="52"/>
      <c r="T494" s="17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</row>
    <row r="495" spans="1:40" ht="60" customHeight="1" x14ac:dyDescent="0.35">
      <c r="A495" s="14"/>
      <c r="B495" s="1"/>
      <c r="C495" s="1"/>
      <c r="D495" s="1"/>
      <c r="E495" s="50"/>
      <c r="F495" s="50"/>
      <c r="G495" s="50"/>
      <c r="H495" s="50"/>
      <c r="I495" s="50"/>
      <c r="J495" s="50"/>
      <c r="K495" s="50"/>
      <c r="L495" s="50"/>
      <c r="M495" s="50"/>
      <c r="N495" s="50"/>
      <c r="O495" s="50"/>
      <c r="P495" s="50"/>
      <c r="Q495" s="50"/>
      <c r="R495" s="50"/>
      <c r="S495" s="50"/>
      <c r="T495" s="17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</row>
    <row r="496" spans="1:40" ht="60" customHeight="1" x14ac:dyDescent="0.35">
      <c r="A496" s="13"/>
      <c r="B496" s="10"/>
      <c r="C496" s="10"/>
      <c r="D496" s="10"/>
      <c r="E496" s="52"/>
      <c r="F496" s="52"/>
      <c r="G496" s="52"/>
      <c r="H496" s="52"/>
      <c r="I496" s="52"/>
      <c r="J496" s="52"/>
      <c r="K496" s="52"/>
      <c r="L496" s="52"/>
      <c r="M496" s="52"/>
      <c r="N496" s="52"/>
      <c r="O496" s="52"/>
      <c r="P496" s="52"/>
      <c r="Q496" s="52"/>
      <c r="R496" s="52"/>
      <c r="S496" s="52"/>
      <c r="T496" s="17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</row>
    <row r="497" spans="1:40" ht="60" customHeight="1" x14ac:dyDescent="0.35">
      <c r="A497" s="14"/>
      <c r="B497" s="11"/>
      <c r="C497" s="11"/>
      <c r="D497" s="11"/>
      <c r="E497" s="53"/>
      <c r="F497" s="53"/>
      <c r="G497" s="53"/>
      <c r="H497" s="53"/>
      <c r="I497" s="53"/>
      <c r="J497" s="53"/>
      <c r="K497" s="53"/>
      <c r="L497" s="53"/>
      <c r="M497" s="53"/>
      <c r="N497" s="53"/>
      <c r="O497" s="53"/>
      <c r="P497" s="53"/>
      <c r="Q497" s="53"/>
      <c r="R497" s="53"/>
      <c r="S497" s="53"/>
      <c r="T497" s="17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</row>
    <row r="498" spans="1:40" ht="60" customHeight="1" x14ac:dyDescent="0.35">
      <c r="A498" s="13"/>
      <c r="B498" s="10"/>
      <c r="C498" s="10"/>
      <c r="D498" s="10"/>
      <c r="E498" s="52"/>
      <c r="F498" s="52"/>
      <c r="G498" s="52"/>
      <c r="H498" s="52"/>
      <c r="I498" s="52"/>
      <c r="J498" s="52"/>
      <c r="K498" s="52"/>
      <c r="L498" s="52"/>
      <c r="M498" s="52"/>
      <c r="N498" s="52"/>
      <c r="O498" s="52"/>
      <c r="P498" s="52"/>
      <c r="Q498" s="52"/>
      <c r="R498" s="52"/>
      <c r="S498" s="52"/>
      <c r="T498" s="17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</row>
    <row r="499" spans="1:40" ht="60" customHeight="1" x14ac:dyDescent="0.35">
      <c r="A499" s="14"/>
      <c r="B499" s="11"/>
      <c r="C499" s="11"/>
      <c r="D499" s="11"/>
      <c r="E499" s="53"/>
      <c r="F499" s="53"/>
      <c r="G499" s="53"/>
      <c r="H499" s="53"/>
      <c r="I499" s="53"/>
      <c r="J499" s="53"/>
      <c r="K499" s="53"/>
      <c r="L499" s="53"/>
      <c r="M499" s="53"/>
      <c r="N499" s="53"/>
      <c r="O499" s="53"/>
      <c r="P499" s="53"/>
      <c r="Q499" s="53"/>
      <c r="R499" s="53"/>
      <c r="S499" s="53"/>
      <c r="T499" s="17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</row>
    <row r="500" spans="1:40" ht="60" customHeight="1" x14ac:dyDescent="0.35">
      <c r="A500" s="13"/>
      <c r="B500" s="10"/>
      <c r="C500" s="10"/>
      <c r="D500" s="10"/>
      <c r="E500" s="52"/>
      <c r="F500" s="52"/>
      <c r="G500" s="52"/>
      <c r="H500" s="52"/>
      <c r="I500" s="52"/>
      <c r="J500" s="52"/>
      <c r="K500" s="52"/>
      <c r="L500" s="52"/>
      <c r="M500" s="52"/>
      <c r="N500" s="52"/>
      <c r="O500" s="52"/>
      <c r="P500" s="52"/>
      <c r="Q500" s="52"/>
      <c r="R500" s="52"/>
      <c r="S500" s="52"/>
      <c r="T500" s="17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</row>
    <row r="501" spans="1:40" ht="60" customHeight="1" x14ac:dyDescent="0.35">
      <c r="A501" s="14"/>
      <c r="B501" s="11"/>
      <c r="C501" s="11"/>
      <c r="D501" s="11"/>
      <c r="E501" s="53"/>
      <c r="F501" s="53"/>
      <c r="G501" s="53"/>
      <c r="H501" s="53"/>
      <c r="I501" s="53"/>
      <c r="J501" s="53"/>
      <c r="K501" s="53"/>
      <c r="L501" s="53"/>
      <c r="M501" s="53"/>
      <c r="N501" s="53"/>
      <c r="O501" s="53"/>
      <c r="P501" s="53"/>
      <c r="Q501" s="53"/>
      <c r="R501" s="53"/>
      <c r="S501" s="53"/>
      <c r="T501" s="17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</row>
    <row r="502" spans="1:40" ht="60" customHeight="1" x14ac:dyDescent="0.35">
      <c r="A502" s="13"/>
      <c r="B502" s="10"/>
      <c r="C502" s="10"/>
      <c r="D502" s="10"/>
      <c r="E502" s="52"/>
      <c r="F502" s="52"/>
      <c r="G502" s="52"/>
      <c r="H502" s="52"/>
      <c r="I502" s="52"/>
      <c r="J502" s="52"/>
      <c r="K502" s="52"/>
      <c r="L502" s="52"/>
      <c r="M502" s="52"/>
      <c r="N502" s="52"/>
      <c r="O502" s="52"/>
      <c r="P502" s="52"/>
      <c r="Q502" s="52"/>
      <c r="R502" s="52"/>
      <c r="S502" s="52"/>
      <c r="T502" s="17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</row>
    <row r="503" spans="1:40" ht="60" customHeight="1" x14ac:dyDescent="0.35">
      <c r="A503" s="14"/>
      <c r="B503" s="1"/>
      <c r="C503" s="1"/>
      <c r="D503" s="1"/>
      <c r="E503" s="50"/>
      <c r="F503" s="50"/>
      <c r="G503" s="50"/>
      <c r="H503" s="50"/>
      <c r="I503" s="50"/>
      <c r="J503" s="50"/>
      <c r="K503" s="50"/>
      <c r="L503" s="50"/>
      <c r="M503" s="50"/>
      <c r="N503" s="50"/>
      <c r="O503" s="50"/>
      <c r="P503" s="50"/>
      <c r="Q503" s="50"/>
      <c r="R503" s="50"/>
      <c r="S503" s="50"/>
      <c r="T503" s="17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</row>
    <row r="504" spans="1:40" ht="60" customHeight="1" x14ac:dyDescent="0.35">
      <c r="A504" s="13"/>
      <c r="B504" s="10"/>
      <c r="C504" s="10"/>
      <c r="D504" s="10"/>
      <c r="E504" s="52"/>
      <c r="F504" s="52"/>
      <c r="G504" s="52"/>
      <c r="H504" s="52"/>
      <c r="I504" s="52"/>
      <c r="J504" s="52"/>
      <c r="K504" s="52"/>
      <c r="L504" s="52"/>
      <c r="M504" s="52"/>
      <c r="N504" s="52"/>
      <c r="O504" s="52"/>
      <c r="P504" s="52"/>
      <c r="Q504" s="52"/>
      <c r="R504" s="52"/>
      <c r="S504" s="52"/>
      <c r="T504" s="17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</row>
    <row r="505" spans="1:40" ht="60" customHeight="1" x14ac:dyDescent="0.35">
      <c r="A505" s="14"/>
      <c r="B505" s="1"/>
      <c r="C505" s="1"/>
      <c r="D505" s="1"/>
      <c r="E505" s="50"/>
      <c r="F505" s="50"/>
      <c r="G505" s="50"/>
      <c r="H505" s="50"/>
      <c r="I505" s="50"/>
      <c r="J505" s="50"/>
      <c r="K505" s="50"/>
      <c r="L505" s="50"/>
      <c r="M505" s="50"/>
      <c r="N505" s="50"/>
      <c r="O505" s="50"/>
      <c r="P505" s="50"/>
      <c r="Q505" s="50"/>
      <c r="R505" s="50"/>
      <c r="S505" s="53"/>
      <c r="T505" s="17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</row>
    <row r="506" spans="1:40" ht="60" customHeight="1" x14ac:dyDescent="0.35">
      <c r="A506" s="13"/>
      <c r="B506" s="10"/>
      <c r="C506" s="10"/>
      <c r="D506" s="10"/>
      <c r="E506" s="52"/>
      <c r="F506" s="52"/>
      <c r="G506" s="52"/>
      <c r="H506" s="52"/>
      <c r="I506" s="52"/>
      <c r="J506" s="52"/>
      <c r="K506" s="52"/>
      <c r="L506" s="52"/>
      <c r="M506" s="52"/>
      <c r="N506" s="52"/>
      <c r="O506" s="52"/>
      <c r="P506" s="52"/>
      <c r="Q506" s="52"/>
      <c r="R506" s="52"/>
      <c r="S506" s="52"/>
      <c r="T506" s="17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</row>
    <row r="507" spans="1:40" ht="60" customHeight="1" x14ac:dyDescent="0.35">
      <c r="A507" s="14"/>
      <c r="B507" s="11"/>
      <c r="C507" s="11"/>
      <c r="D507" s="11"/>
      <c r="E507" s="53"/>
      <c r="F507" s="53"/>
      <c r="G507" s="53"/>
      <c r="H507" s="53"/>
      <c r="I507" s="53"/>
      <c r="J507" s="53"/>
      <c r="K507" s="53"/>
      <c r="L507" s="53"/>
      <c r="M507" s="53"/>
      <c r="N507" s="53"/>
      <c r="O507" s="53"/>
      <c r="P507" s="53"/>
      <c r="Q507" s="53"/>
      <c r="R507" s="53"/>
      <c r="S507" s="53"/>
      <c r="T507" s="17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</row>
    <row r="508" spans="1:40" ht="60" customHeight="1" x14ac:dyDescent="0.35">
      <c r="A508" s="13"/>
      <c r="B508" s="10"/>
      <c r="C508" s="10"/>
      <c r="D508" s="10"/>
      <c r="E508" s="52"/>
      <c r="F508" s="52"/>
      <c r="G508" s="52"/>
      <c r="H508" s="52"/>
      <c r="I508" s="52"/>
      <c r="J508" s="52"/>
      <c r="K508" s="52"/>
      <c r="L508" s="52"/>
      <c r="M508" s="52"/>
      <c r="N508" s="52"/>
      <c r="O508" s="52"/>
      <c r="P508" s="52"/>
      <c r="Q508" s="52"/>
      <c r="R508" s="52"/>
      <c r="S508" s="52"/>
      <c r="T508" s="17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</row>
    <row r="509" spans="1:40" ht="60" customHeight="1" x14ac:dyDescent="0.35">
      <c r="A509" s="14"/>
      <c r="B509" s="11"/>
      <c r="C509" s="11"/>
      <c r="D509" s="11"/>
      <c r="E509" s="53"/>
      <c r="F509" s="53"/>
      <c r="G509" s="53"/>
      <c r="H509" s="53"/>
      <c r="I509" s="53"/>
      <c r="J509" s="53"/>
      <c r="K509" s="53"/>
      <c r="L509" s="53"/>
      <c r="M509" s="53"/>
      <c r="N509" s="53"/>
      <c r="O509" s="53"/>
      <c r="P509" s="53"/>
      <c r="Q509" s="53"/>
      <c r="R509" s="53"/>
      <c r="S509" s="53"/>
      <c r="T509" s="17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</row>
    <row r="510" spans="1:40" ht="60" customHeight="1" x14ac:dyDescent="0.35">
      <c r="A510" s="13"/>
      <c r="B510" s="10"/>
      <c r="C510" s="10"/>
      <c r="D510" s="10"/>
      <c r="E510" s="52"/>
      <c r="F510" s="52"/>
      <c r="G510" s="52"/>
      <c r="H510" s="52"/>
      <c r="I510" s="52"/>
      <c r="J510" s="52"/>
      <c r="K510" s="52"/>
      <c r="L510" s="52"/>
      <c r="M510" s="52"/>
      <c r="N510" s="52"/>
      <c r="O510" s="52"/>
      <c r="P510" s="52"/>
      <c r="Q510" s="52"/>
      <c r="R510" s="52"/>
      <c r="S510" s="52"/>
      <c r="T510" s="17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</row>
    <row r="511" spans="1:40" ht="60" customHeight="1" x14ac:dyDescent="0.35">
      <c r="A511" s="14"/>
      <c r="B511" s="1"/>
      <c r="C511" s="1"/>
      <c r="D511" s="1"/>
      <c r="E511" s="50"/>
      <c r="F511" s="50"/>
      <c r="G511" s="50"/>
      <c r="H511" s="50"/>
      <c r="I511" s="50"/>
      <c r="J511" s="50"/>
      <c r="K511" s="50"/>
      <c r="L511" s="50"/>
      <c r="M511" s="50"/>
      <c r="N511" s="50"/>
      <c r="O511" s="50"/>
      <c r="P511" s="50"/>
      <c r="Q511" s="50"/>
      <c r="R511" s="50"/>
      <c r="S511" s="53"/>
      <c r="T511" s="17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</row>
    <row r="512" spans="1:40" ht="60" customHeight="1" x14ac:dyDescent="0.35">
      <c r="A512" s="13"/>
      <c r="B512" s="10"/>
      <c r="C512" s="10"/>
      <c r="D512" s="10"/>
      <c r="E512" s="52"/>
      <c r="F512" s="52"/>
      <c r="G512" s="52"/>
      <c r="H512" s="52"/>
      <c r="I512" s="52"/>
      <c r="J512" s="52"/>
      <c r="K512" s="52"/>
      <c r="L512" s="52"/>
      <c r="M512" s="52"/>
      <c r="N512" s="52"/>
      <c r="O512" s="52"/>
      <c r="P512" s="52"/>
      <c r="Q512" s="52"/>
      <c r="R512" s="52"/>
      <c r="S512" s="52"/>
      <c r="T512" s="17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</row>
    <row r="513" spans="1:40" ht="60" customHeight="1" x14ac:dyDescent="0.35">
      <c r="A513" s="14"/>
      <c r="B513" s="11"/>
      <c r="C513" s="11"/>
      <c r="D513" s="11"/>
      <c r="E513" s="53"/>
      <c r="F513" s="53"/>
      <c r="G513" s="53"/>
      <c r="H513" s="53"/>
      <c r="I513" s="53"/>
      <c r="J513" s="53"/>
      <c r="K513" s="53"/>
      <c r="L513" s="53"/>
      <c r="M513" s="53"/>
      <c r="N513" s="53"/>
      <c r="O513" s="53"/>
      <c r="P513" s="53"/>
      <c r="Q513" s="53"/>
      <c r="R513" s="53"/>
      <c r="S513" s="53"/>
      <c r="T513" s="17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</row>
    <row r="514" spans="1:40" ht="60" customHeight="1" x14ac:dyDescent="0.35">
      <c r="A514" s="13"/>
      <c r="B514" s="10"/>
      <c r="C514" s="10"/>
      <c r="D514" s="10"/>
      <c r="E514" s="52"/>
      <c r="F514" s="52"/>
      <c r="G514" s="52"/>
      <c r="H514" s="52"/>
      <c r="I514" s="52"/>
      <c r="J514" s="52"/>
      <c r="K514" s="52"/>
      <c r="L514" s="52"/>
      <c r="M514" s="52"/>
      <c r="N514" s="52"/>
      <c r="O514" s="52"/>
      <c r="P514" s="52"/>
      <c r="Q514" s="52"/>
      <c r="R514" s="52"/>
      <c r="S514" s="52"/>
      <c r="T514" s="17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</row>
    <row r="515" spans="1:40" ht="60" customHeight="1" x14ac:dyDescent="0.35">
      <c r="A515" s="14"/>
      <c r="B515" s="11"/>
      <c r="C515" s="11"/>
      <c r="D515" s="11"/>
      <c r="E515" s="53"/>
      <c r="F515" s="53"/>
      <c r="G515" s="53"/>
      <c r="H515" s="53"/>
      <c r="I515" s="53"/>
      <c r="J515" s="53"/>
      <c r="K515" s="53"/>
      <c r="L515" s="53"/>
      <c r="M515" s="53"/>
      <c r="N515" s="53"/>
      <c r="O515" s="53"/>
      <c r="P515" s="53"/>
      <c r="Q515" s="53"/>
      <c r="R515" s="53"/>
      <c r="S515" s="53"/>
      <c r="T515" s="17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</row>
    <row r="516" spans="1:40" ht="60" customHeight="1" x14ac:dyDescent="0.35">
      <c r="A516" s="13"/>
      <c r="B516" s="10"/>
      <c r="C516" s="10"/>
      <c r="D516" s="10"/>
      <c r="E516" s="52"/>
      <c r="F516" s="52"/>
      <c r="G516" s="52"/>
      <c r="H516" s="52"/>
      <c r="I516" s="52"/>
      <c r="J516" s="52"/>
      <c r="K516" s="52"/>
      <c r="L516" s="52"/>
      <c r="M516" s="52"/>
      <c r="N516" s="52"/>
      <c r="O516" s="52"/>
      <c r="P516" s="52"/>
      <c r="Q516" s="52"/>
      <c r="R516" s="52"/>
      <c r="S516" s="52"/>
      <c r="T516" s="17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</row>
    <row r="517" spans="1:40" ht="60" customHeight="1" x14ac:dyDescent="0.35">
      <c r="A517" s="14"/>
      <c r="B517" s="1"/>
      <c r="C517" s="1"/>
      <c r="D517" s="1"/>
      <c r="E517" s="50"/>
      <c r="F517" s="50"/>
      <c r="G517" s="50"/>
      <c r="H517" s="50"/>
      <c r="I517" s="50"/>
      <c r="J517" s="50"/>
      <c r="K517" s="50"/>
      <c r="L517" s="50"/>
      <c r="M517" s="50"/>
      <c r="N517" s="50"/>
      <c r="O517" s="50"/>
      <c r="P517" s="50"/>
      <c r="Q517" s="50"/>
      <c r="R517" s="50"/>
      <c r="S517" s="53"/>
      <c r="T517" s="17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</row>
    <row r="518" spans="1:40" ht="60" customHeight="1" x14ac:dyDescent="0.35">
      <c r="A518" s="13"/>
      <c r="B518" s="10"/>
      <c r="C518" s="10"/>
      <c r="D518" s="10"/>
      <c r="E518" s="52"/>
      <c r="F518" s="52"/>
      <c r="G518" s="52"/>
      <c r="H518" s="52"/>
      <c r="I518" s="52"/>
      <c r="J518" s="52"/>
      <c r="K518" s="52"/>
      <c r="L518" s="52"/>
      <c r="M518" s="52"/>
      <c r="N518" s="52"/>
      <c r="O518" s="52"/>
      <c r="P518" s="52"/>
      <c r="Q518" s="52"/>
      <c r="R518" s="52"/>
      <c r="S518" s="52"/>
      <c r="T518" s="17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</row>
    <row r="519" spans="1:40" ht="60" customHeight="1" x14ac:dyDescent="0.35">
      <c r="A519" s="14"/>
      <c r="B519" s="11"/>
      <c r="C519" s="11"/>
      <c r="D519" s="11"/>
      <c r="E519" s="53"/>
      <c r="F519" s="53"/>
      <c r="G519" s="53"/>
      <c r="H519" s="53"/>
      <c r="I519" s="53"/>
      <c r="J519" s="53"/>
      <c r="K519" s="53"/>
      <c r="L519" s="53"/>
      <c r="M519" s="53"/>
      <c r="N519" s="53"/>
      <c r="O519" s="53"/>
      <c r="P519" s="53"/>
      <c r="Q519" s="53"/>
      <c r="R519" s="53"/>
      <c r="S519" s="53"/>
      <c r="T519" s="17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</row>
    <row r="520" spans="1:40" ht="60" customHeight="1" x14ac:dyDescent="0.35">
      <c r="A520" s="13"/>
      <c r="B520" s="10"/>
      <c r="C520" s="10"/>
      <c r="D520" s="10"/>
      <c r="E520" s="52"/>
      <c r="F520" s="52"/>
      <c r="G520" s="52"/>
      <c r="H520" s="52"/>
      <c r="I520" s="52"/>
      <c r="J520" s="52"/>
      <c r="K520" s="52"/>
      <c r="L520" s="52"/>
      <c r="M520" s="52"/>
      <c r="N520" s="52"/>
      <c r="O520" s="52"/>
      <c r="P520" s="52"/>
      <c r="Q520" s="52"/>
      <c r="R520" s="52"/>
      <c r="S520" s="52"/>
      <c r="T520" s="17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</row>
    <row r="521" spans="1:40" ht="60" customHeight="1" x14ac:dyDescent="0.35">
      <c r="A521" s="14"/>
      <c r="B521" s="11"/>
      <c r="C521" s="11"/>
      <c r="D521" s="11"/>
      <c r="E521" s="53"/>
      <c r="F521" s="53"/>
      <c r="G521" s="53"/>
      <c r="H521" s="53"/>
      <c r="I521" s="53"/>
      <c r="J521" s="53"/>
      <c r="K521" s="53"/>
      <c r="L521" s="53"/>
      <c r="M521" s="53"/>
      <c r="N521" s="53"/>
      <c r="O521" s="53"/>
      <c r="P521" s="53"/>
      <c r="Q521" s="53"/>
      <c r="R521" s="53"/>
      <c r="S521" s="53"/>
      <c r="T521" s="17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</row>
    <row r="522" spans="1:40" ht="60" customHeight="1" x14ac:dyDescent="0.35">
      <c r="A522" s="13"/>
      <c r="B522" s="10"/>
      <c r="C522" s="10"/>
      <c r="D522" s="10"/>
      <c r="E522" s="52"/>
      <c r="F522" s="52"/>
      <c r="G522" s="52"/>
      <c r="H522" s="52"/>
      <c r="I522" s="52"/>
      <c r="J522" s="52"/>
      <c r="K522" s="52"/>
      <c r="L522" s="52"/>
      <c r="M522" s="52"/>
      <c r="N522" s="52"/>
      <c r="O522" s="52"/>
      <c r="P522" s="52"/>
      <c r="Q522" s="52"/>
      <c r="R522" s="52"/>
      <c r="S522" s="52"/>
      <c r="T522" s="17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</row>
    <row r="523" spans="1:40" ht="60" customHeight="1" x14ac:dyDescent="0.35">
      <c r="A523" s="14"/>
      <c r="B523" s="11"/>
      <c r="C523" s="11"/>
      <c r="D523" s="11"/>
      <c r="E523" s="53"/>
      <c r="F523" s="53"/>
      <c r="G523" s="53"/>
      <c r="H523" s="53"/>
      <c r="I523" s="53"/>
      <c r="J523" s="53"/>
      <c r="K523" s="53"/>
      <c r="L523" s="53"/>
      <c r="M523" s="53"/>
      <c r="N523" s="53"/>
      <c r="O523" s="53"/>
      <c r="P523" s="53"/>
      <c r="Q523" s="53"/>
      <c r="R523" s="53"/>
      <c r="S523" s="53"/>
      <c r="T523" s="17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</row>
    <row r="524" spans="1:40" ht="60" customHeight="1" x14ac:dyDescent="0.35">
      <c r="A524" s="13"/>
      <c r="B524" s="10"/>
      <c r="C524" s="10"/>
      <c r="D524" s="10"/>
      <c r="E524" s="52"/>
      <c r="F524" s="52"/>
      <c r="G524" s="52"/>
      <c r="H524" s="52"/>
      <c r="I524" s="52"/>
      <c r="J524" s="52"/>
      <c r="K524" s="52"/>
      <c r="L524" s="52"/>
      <c r="M524" s="52"/>
      <c r="N524" s="52"/>
      <c r="O524" s="52"/>
      <c r="P524" s="52"/>
      <c r="Q524" s="52"/>
      <c r="R524" s="52"/>
      <c r="S524" s="52"/>
      <c r="T524" s="17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</row>
    <row r="525" spans="1:40" ht="60" customHeight="1" x14ac:dyDescent="0.35">
      <c r="A525" s="14"/>
      <c r="B525" s="11"/>
      <c r="C525" s="11"/>
      <c r="D525" s="11"/>
      <c r="E525" s="53"/>
      <c r="F525" s="53"/>
      <c r="G525" s="53"/>
      <c r="H525" s="53"/>
      <c r="I525" s="53"/>
      <c r="J525" s="53"/>
      <c r="K525" s="53"/>
      <c r="L525" s="53"/>
      <c r="M525" s="53"/>
      <c r="N525" s="53"/>
      <c r="O525" s="53"/>
      <c r="P525" s="53"/>
      <c r="Q525" s="53"/>
      <c r="R525" s="53"/>
      <c r="S525" s="53"/>
      <c r="T525" s="17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</row>
    <row r="526" spans="1:40" ht="60" customHeight="1" x14ac:dyDescent="0.35">
      <c r="A526" s="13"/>
      <c r="B526" s="10"/>
      <c r="C526" s="10"/>
      <c r="D526" s="10"/>
      <c r="E526" s="52"/>
      <c r="F526" s="52"/>
      <c r="G526" s="52"/>
      <c r="H526" s="52"/>
      <c r="I526" s="52"/>
      <c r="J526" s="52"/>
      <c r="K526" s="52"/>
      <c r="L526" s="52"/>
      <c r="M526" s="52"/>
      <c r="N526" s="52"/>
      <c r="O526" s="52"/>
      <c r="P526" s="52"/>
      <c r="Q526" s="52"/>
      <c r="R526" s="52"/>
      <c r="S526" s="52"/>
      <c r="T526" s="17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</row>
    <row r="527" spans="1:40" ht="60" customHeight="1" x14ac:dyDescent="0.35">
      <c r="A527" s="14"/>
      <c r="B527" s="11"/>
      <c r="C527" s="11"/>
      <c r="D527" s="11"/>
      <c r="E527" s="53"/>
      <c r="F527" s="53"/>
      <c r="G527" s="53"/>
      <c r="H527" s="53"/>
      <c r="I527" s="53"/>
      <c r="J527" s="53"/>
      <c r="K527" s="53"/>
      <c r="L527" s="53"/>
      <c r="M527" s="53"/>
      <c r="N527" s="53"/>
      <c r="O527" s="53"/>
      <c r="P527" s="53"/>
      <c r="Q527" s="53"/>
      <c r="R527" s="53"/>
      <c r="S527" s="53"/>
      <c r="T527" s="17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</row>
    <row r="528" spans="1:40" ht="60" customHeight="1" x14ac:dyDescent="0.35">
      <c r="A528" s="13"/>
      <c r="B528" s="10"/>
      <c r="C528" s="10"/>
      <c r="D528" s="10"/>
      <c r="E528" s="52"/>
      <c r="F528" s="52"/>
      <c r="G528" s="52"/>
      <c r="H528" s="52"/>
      <c r="I528" s="52"/>
      <c r="J528" s="52"/>
      <c r="K528" s="52"/>
      <c r="L528" s="52"/>
      <c r="M528" s="52"/>
      <c r="N528" s="52"/>
      <c r="O528" s="52"/>
      <c r="P528" s="52"/>
      <c r="Q528" s="52"/>
      <c r="R528" s="52"/>
      <c r="S528" s="52"/>
      <c r="T528" s="17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</row>
    <row r="529" spans="1:40" ht="60" customHeight="1" x14ac:dyDescent="0.35">
      <c r="A529" s="14"/>
      <c r="B529" s="11"/>
      <c r="C529" s="11"/>
      <c r="D529" s="11"/>
      <c r="E529" s="53"/>
      <c r="F529" s="53"/>
      <c r="G529" s="53"/>
      <c r="H529" s="53"/>
      <c r="I529" s="53"/>
      <c r="J529" s="53"/>
      <c r="K529" s="53"/>
      <c r="L529" s="53"/>
      <c r="M529" s="53"/>
      <c r="N529" s="53"/>
      <c r="O529" s="53"/>
      <c r="P529" s="53"/>
      <c r="Q529" s="53"/>
      <c r="R529" s="53"/>
      <c r="S529" s="53"/>
      <c r="T529" s="17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</row>
    <row r="530" spans="1:40" ht="60" customHeight="1" x14ac:dyDescent="0.35">
      <c r="A530" s="13"/>
      <c r="B530" s="10"/>
      <c r="C530" s="10"/>
      <c r="D530" s="10"/>
      <c r="E530" s="52"/>
      <c r="F530" s="52"/>
      <c r="G530" s="52"/>
      <c r="H530" s="52"/>
      <c r="I530" s="52"/>
      <c r="J530" s="52"/>
      <c r="K530" s="52"/>
      <c r="L530" s="52"/>
      <c r="M530" s="52"/>
      <c r="N530" s="52"/>
      <c r="O530" s="52"/>
      <c r="P530" s="52"/>
      <c r="Q530" s="52"/>
      <c r="R530" s="52"/>
      <c r="S530" s="52"/>
      <c r="T530" s="17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</row>
    <row r="531" spans="1:40" ht="60" customHeight="1" x14ac:dyDescent="0.35">
      <c r="A531" s="14"/>
      <c r="B531" s="1"/>
      <c r="C531" s="1"/>
      <c r="D531" s="1"/>
      <c r="E531" s="50"/>
      <c r="F531" s="50"/>
      <c r="G531" s="50"/>
      <c r="H531" s="50"/>
      <c r="I531" s="50"/>
      <c r="J531" s="50"/>
      <c r="K531" s="50"/>
      <c r="L531" s="50"/>
      <c r="M531" s="50"/>
      <c r="N531" s="50"/>
      <c r="O531" s="50"/>
      <c r="P531" s="50"/>
      <c r="Q531" s="50"/>
      <c r="R531" s="50"/>
      <c r="S531" s="53"/>
      <c r="T531" s="17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</row>
    <row r="532" spans="1:40" ht="60" customHeight="1" x14ac:dyDescent="0.35">
      <c r="A532" s="13"/>
      <c r="B532" s="10"/>
      <c r="C532" s="10"/>
      <c r="D532" s="10"/>
      <c r="E532" s="52"/>
      <c r="F532" s="52"/>
      <c r="G532" s="52"/>
      <c r="H532" s="52"/>
      <c r="I532" s="52"/>
      <c r="J532" s="52"/>
      <c r="K532" s="52"/>
      <c r="L532" s="52"/>
      <c r="M532" s="52"/>
      <c r="N532" s="52"/>
      <c r="O532" s="52"/>
      <c r="P532" s="52"/>
      <c r="Q532" s="52"/>
      <c r="R532" s="52"/>
      <c r="S532" s="52"/>
      <c r="T532" s="17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</row>
    <row r="533" spans="1:40" ht="60" customHeight="1" x14ac:dyDescent="0.35">
      <c r="A533" s="14"/>
      <c r="B533" s="11"/>
      <c r="C533" s="11"/>
      <c r="D533" s="11"/>
      <c r="E533" s="53"/>
      <c r="F533" s="53"/>
      <c r="G533" s="53"/>
      <c r="H533" s="53"/>
      <c r="I533" s="53"/>
      <c r="J533" s="53"/>
      <c r="K533" s="53"/>
      <c r="L533" s="53"/>
      <c r="M533" s="53"/>
      <c r="N533" s="53"/>
      <c r="O533" s="53"/>
      <c r="P533" s="53"/>
      <c r="Q533" s="53"/>
      <c r="R533" s="53"/>
      <c r="S533" s="53"/>
      <c r="T533" s="17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</row>
    <row r="534" spans="1:40" ht="60" customHeight="1" x14ac:dyDescent="0.35">
      <c r="A534" s="13"/>
      <c r="B534" s="10"/>
      <c r="C534" s="10"/>
      <c r="D534" s="10"/>
      <c r="E534" s="52"/>
      <c r="F534" s="52"/>
      <c r="G534" s="52"/>
      <c r="H534" s="52"/>
      <c r="I534" s="52"/>
      <c r="J534" s="52"/>
      <c r="K534" s="52"/>
      <c r="L534" s="52"/>
      <c r="M534" s="52"/>
      <c r="N534" s="52"/>
      <c r="O534" s="52"/>
      <c r="P534" s="52"/>
      <c r="Q534" s="52"/>
      <c r="R534" s="52"/>
      <c r="S534" s="52"/>
      <c r="T534" s="17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</row>
    <row r="535" spans="1:40" ht="60" customHeight="1" x14ac:dyDescent="0.35">
      <c r="A535" s="14"/>
      <c r="B535" s="11"/>
      <c r="C535" s="11"/>
      <c r="D535" s="11"/>
      <c r="E535" s="53"/>
      <c r="F535" s="53"/>
      <c r="G535" s="53"/>
      <c r="H535" s="53"/>
      <c r="I535" s="53"/>
      <c r="J535" s="53"/>
      <c r="K535" s="53"/>
      <c r="L535" s="53"/>
      <c r="M535" s="53"/>
      <c r="N535" s="53"/>
      <c r="O535" s="53"/>
      <c r="P535" s="53"/>
      <c r="Q535" s="53"/>
      <c r="R535" s="53"/>
      <c r="S535" s="53"/>
      <c r="T535" s="17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</row>
    <row r="536" spans="1:40" ht="60" customHeight="1" x14ac:dyDescent="0.35">
      <c r="A536" s="13"/>
      <c r="B536" s="10"/>
      <c r="C536" s="10"/>
      <c r="D536" s="10"/>
      <c r="E536" s="52"/>
      <c r="F536" s="52"/>
      <c r="G536" s="52"/>
      <c r="H536" s="52"/>
      <c r="I536" s="52"/>
      <c r="J536" s="52"/>
      <c r="K536" s="52"/>
      <c r="L536" s="52"/>
      <c r="M536" s="52"/>
      <c r="N536" s="52"/>
      <c r="O536" s="52"/>
      <c r="P536" s="52"/>
      <c r="Q536" s="52"/>
      <c r="R536" s="52"/>
      <c r="S536" s="52"/>
      <c r="T536" s="17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</row>
    <row r="537" spans="1:40" ht="60" customHeight="1" x14ac:dyDescent="0.35">
      <c r="A537" s="14"/>
      <c r="B537" s="1"/>
      <c r="C537" s="1"/>
      <c r="D537" s="1"/>
      <c r="E537" s="50"/>
      <c r="F537" s="50"/>
      <c r="G537" s="50"/>
      <c r="H537" s="50"/>
      <c r="I537" s="50"/>
      <c r="J537" s="50"/>
      <c r="K537" s="50"/>
      <c r="L537" s="50"/>
      <c r="M537" s="50"/>
      <c r="N537" s="50"/>
      <c r="O537" s="50"/>
      <c r="P537" s="50"/>
      <c r="Q537" s="50"/>
      <c r="R537" s="50"/>
      <c r="S537" s="50"/>
      <c r="T537" s="17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</row>
    <row r="538" spans="1:40" ht="60" customHeight="1" x14ac:dyDescent="0.35">
      <c r="A538" s="13"/>
      <c r="B538" s="10"/>
      <c r="C538" s="10"/>
      <c r="D538" s="10"/>
      <c r="E538" s="52"/>
      <c r="F538" s="52"/>
      <c r="G538" s="52"/>
      <c r="H538" s="52"/>
      <c r="I538" s="52"/>
      <c r="J538" s="52"/>
      <c r="K538" s="52"/>
      <c r="L538" s="52"/>
      <c r="M538" s="52"/>
      <c r="N538" s="52"/>
      <c r="O538" s="52"/>
      <c r="P538" s="52"/>
      <c r="Q538" s="52"/>
      <c r="R538" s="52"/>
      <c r="S538" s="52"/>
      <c r="T538" s="17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</row>
    <row r="539" spans="1:40" ht="60" customHeight="1" x14ac:dyDescent="0.35">
      <c r="A539" s="14"/>
      <c r="B539" s="1"/>
      <c r="C539" s="1"/>
      <c r="D539" s="1"/>
      <c r="E539" s="50"/>
      <c r="F539" s="50"/>
      <c r="G539" s="50"/>
      <c r="H539" s="50"/>
      <c r="I539" s="50"/>
      <c r="J539" s="50"/>
      <c r="K539" s="50"/>
      <c r="L539" s="50"/>
      <c r="M539" s="50"/>
      <c r="N539" s="50"/>
      <c r="O539" s="50"/>
      <c r="P539" s="50"/>
      <c r="Q539" s="50"/>
      <c r="R539" s="50"/>
      <c r="S539" s="50"/>
      <c r="T539" s="17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</row>
    <row r="540" spans="1:40" ht="60" customHeight="1" x14ac:dyDescent="0.35">
      <c r="A540" s="13"/>
      <c r="B540" s="10"/>
      <c r="C540" s="10"/>
      <c r="D540" s="10"/>
      <c r="E540" s="52"/>
      <c r="F540" s="52"/>
      <c r="G540" s="52"/>
      <c r="H540" s="52"/>
      <c r="I540" s="52"/>
      <c r="J540" s="52"/>
      <c r="K540" s="52"/>
      <c r="L540" s="52"/>
      <c r="M540" s="52"/>
      <c r="N540" s="52"/>
      <c r="O540" s="52"/>
      <c r="P540" s="52"/>
      <c r="Q540" s="52"/>
      <c r="R540" s="52"/>
      <c r="S540" s="52"/>
      <c r="T540" s="17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</row>
    <row r="541" spans="1:40" ht="60" customHeight="1" x14ac:dyDescent="0.35">
      <c r="A541" s="14"/>
      <c r="B541" s="11"/>
      <c r="C541" s="11"/>
      <c r="D541" s="11"/>
      <c r="E541" s="53"/>
      <c r="F541" s="53"/>
      <c r="G541" s="53"/>
      <c r="H541" s="53"/>
      <c r="I541" s="53"/>
      <c r="J541" s="53"/>
      <c r="K541" s="53"/>
      <c r="L541" s="53"/>
      <c r="M541" s="53"/>
      <c r="N541" s="53"/>
      <c r="O541" s="53"/>
      <c r="P541" s="53"/>
      <c r="Q541" s="53"/>
      <c r="R541" s="53"/>
      <c r="S541" s="53"/>
      <c r="T541" s="17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</row>
    <row r="542" spans="1:40" ht="60" customHeight="1" x14ac:dyDescent="0.35">
      <c r="A542" s="13"/>
      <c r="B542" s="10"/>
      <c r="C542" s="10"/>
      <c r="D542" s="10"/>
      <c r="E542" s="52"/>
      <c r="F542" s="52"/>
      <c r="G542" s="52"/>
      <c r="H542" s="52"/>
      <c r="I542" s="52"/>
      <c r="J542" s="52"/>
      <c r="K542" s="52"/>
      <c r="L542" s="52"/>
      <c r="M542" s="52"/>
      <c r="N542" s="52"/>
      <c r="O542" s="52"/>
      <c r="P542" s="52"/>
      <c r="Q542" s="52"/>
      <c r="R542" s="52"/>
      <c r="S542" s="52"/>
      <c r="T542" s="17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</row>
    <row r="543" spans="1:40" ht="60" customHeight="1" x14ac:dyDescent="0.35">
      <c r="A543" s="14"/>
      <c r="B543" s="11"/>
      <c r="C543" s="11"/>
      <c r="D543" s="11"/>
      <c r="E543" s="53"/>
      <c r="F543" s="53"/>
      <c r="G543" s="53"/>
      <c r="H543" s="53"/>
      <c r="I543" s="53"/>
      <c r="J543" s="53"/>
      <c r="K543" s="53"/>
      <c r="L543" s="53"/>
      <c r="M543" s="53"/>
      <c r="N543" s="53"/>
      <c r="O543" s="53"/>
      <c r="P543" s="53"/>
      <c r="Q543" s="53"/>
      <c r="R543" s="53"/>
      <c r="S543" s="53"/>
      <c r="T543" s="17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</row>
    <row r="544" spans="1:40" ht="60" customHeight="1" x14ac:dyDescent="0.35">
      <c r="A544" s="13"/>
      <c r="B544" s="10"/>
      <c r="C544" s="10"/>
      <c r="D544" s="10"/>
      <c r="E544" s="52"/>
      <c r="F544" s="52"/>
      <c r="G544" s="52"/>
      <c r="H544" s="52"/>
      <c r="I544" s="52"/>
      <c r="J544" s="52"/>
      <c r="K544" s="52"/>
      <c r="L544" s="52"/>
      <c r="M544" s="52"/>
      <c r="N544" s="52"/>
      <c r="O544" s="52"/>
      <c r="P544" s="52"/>
      <c r="Q544" s="52"/>
      <c r="R544" s="52"/>
      <c r="S544" s="52"/>
      <c r="T544" s="17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</row>
    <row r="545" spans="1:40" ht="60" customHeight="1" x14ac:dyDescent="0.35">
      <c r="A545" s="14"/>
      <c r="B545" s="1"/>
      <c r="C545" s="1"/>
      <c r="D545" s="1"/>
      <c r="E545" s="50"/>
      <c r="F545" s="50"/>
      <c r="G545" s="50"/>
      <c r="H545" s="50"/>
      <c r="I545" s="50"/>
      <c r="J545" s="50"/>
      <c r="K545" s="50"/>
      <c r="L545" s="50"/>
      <c r="M545" s="50"/>
      <c r="N545" s="50"/>
      <c r="O545" s="50"/>
      <c r="P545" s="50"/>
      <c r="Q545" s="50"/>
      <c r="R545" s="50"/>
      <c r="S545" s="50"/>
      <c r="T545" s="17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</row>
    <row r="546" spans="1:40" ht="60" customHeight="1" x14ac:dyDescent="0.35">
      <c r="A546" s="13"/>
      <c r="B546" s="10"/>
      <c r="C546" s="10"/>
      <c r="D546" s="10"/>
      <c r="E546" s="52"/>
      <c r="F546" s="52"/>
      <c r="G546" s="52"/>
      <c r="H546" s="52"/>
      <c r="I546" s="52"/>
      <c r="J546" s="52"/>
      <c r="K546" s="52"/>
      <c r="L546" s="52"/>
      <c r="M546" s="52"/>
      <c r="N546" s="52"/>
      <c r="O546" s="52"/>
      <c r="P546" s="52"/>
      <c r="Q546" s="52"/>
      <c r="R546" s="52"/>
      <c r="S546" s="52"/>
      <c r="T546" s="17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</row>
    <row r="547" spans="1:40" ht="60" customHeight="1" x14ac:dyDescent="0.35">
      <c r="A547" s="14"/>
      <c r="B547" s="1"/>
      <c r="C547" s="1"/>
      <c r="D547" s="1"/>
      <c r="E547" s="50"/>
      <c r="F547" s="50"/>
      <c r="G547" s="50"/>
      <c r="H547" s="50"/>
      <c r="I547" s="50"/>
      <c r="J547" s="50"/>
      <c r="K547" s="50"/>
      <c r="L547" s="50"/>
      <c r="M547" s="50"/>
      <c r="N547" s="50"/>
      <c r="O547" s="50"/>
      <c r="P547" s="50"/>
      <c r="Q547" s="50"/>
      <c r="R547" s="50"/>
      <c r="S547" s="50"/>
      <c r="T547" s="17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</row>
    <row r="548" spans="1:40" ht="60" customHeight="1" x14ac:dyDescent="0.35">
      <c r="A548" s="13"/>
      <c r="B548" s="10"/>
      <c r="C548" s="10"/>
      <c r="D548" s="10"/>
      <c r="E548" s="52"/>
      <c r="F548" s="52"/>
      <c r="G548" s="52"/>
      <c r="H548" s="52"/>
      <c r="I548" s="52"/>
      <c r="J548" s="52"/>
      <c r="K548" s="52"/>
      <c r="L548" s="52"/>
      <c r="M548" s="52"/>
      <c r="N548" s="52"/>
      <c r="O548" s="52"/>
      <c r="P548" s="52"/>
      <c r="Q548" s="52"/>
      <c r="R548" s="52"/>
      <c r="S548" s="52"/>
      <c r="T548" s="17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</row>
    <row r="549" spans="1:40" ht="60" customHeight="1" x14ac:dyDescent="0.35">
      <c r="A549" s="14"/>
      <c r="B549" s="1"/>
      <c r="C549" s="1"/>
      <c r="D549" s="1"/>
      <c r="E549" s="50"/>
      <c r="F549" s="50"/>
      <c r="G549" s="50"/>
      <c r="H549" s="50"/>
      <c r="I549" s="50"/>
      <c r="J549" s="50"/>
      <c r="K549" s="50"/>
      <c r="L549" s="50"/>
      <c r="M549" s="50"/>
      <c r="N549" s="50"/>
      <c r="O549" s="50"/>
      <c r="P549" s="50"/>
      <c r="Q549" s="50"/>
      <c r="R549" s="50"/>
      <c r="S549" s="50"/>
      <c r="T549" s="17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</row>
    <row r="550" spans="1:40" ht="60" customHeight="1" x14ac:dyDescent="0.35">
      <c r="A550" s="13"/>
      <c r="B550" s="10"/>
      <c r="C550" s="10"/>
      <c r="D550" s="10"/>
      <c r="E550" s="52"/>
      <c r="F550" s="52"/>
      <c r="G550" s="52"/>
      <c r="H550" s="52"/>
      <c r="I550" s="52"/>
      <c r="J550" s="52"/>
      <c r="K550" s="52"/>
      <c r="L550" s="52"/>
      <c r="M550" s="52"/>
      <c r="N550" s="52"/>
      <c r="O550" s="52"/>
      <c r="P550" s="52"/>
      <c r="Q550" s="52"/>
      <c r="R550" s="52"/>
      <c r="S550" s="52"/>
      <c r="T550" s="17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</row>
    <row r="551" spans="1:40" ht="60" customHeight="1" x14ac:dyDescent="0.35">
      <c r="A551" s="14"/>
      <c r="B551" s="1"/>
      <c r="C551" s="1"/>
      <c r="D551" s="1"/>
      <c r="E551" s="50"/>
      <c r="F551" s="50"/>
      <c r="G551" s="50"/>
      <c r="H551" s="50"/>
      <c r="I551" s="50"/>
      <c r="J551" s="50"/>
      <c r="K551" s="50"/>
      <c r="L551" s="50"/>
      <c r="M551" s="50"/>
      <c r="N551" s="50"/>
      <c r="O551" s="50"/>
      <c r="P551" s="50"/>
      <c r="Q551" s="50"/>
      <c r="R551" s="50"/>
      <c r="S551" s="50"/>
      <c r="T551" s="17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</row>
    <row r="552" spans="1:40" ht="60" customHeight="1" x14ac:dyDescent="0.35">
      <c r="A552" s="13"/>
      <c r="B552" s="10"/>
      <c r="C552" s="10"/>
      <c r="D552" s="10"/>
      <c r="E552" s="52"/>
      <c r="F552" s="52"/>
      <c r="G552" s="52"/>
      <c r="H552" s="52"/>
      <c r="I552" s="52"/>
      <c r="J552" s="52"/>
      <c r="K552" s="52"/>
      <c r="L552" s="52"/>
      <c r="M552" s="52"/>
      <c r="N552" s="52"/>
      <c r="O552" s="52"/>
      <c r="P552" s="52"/>
      <c r="Q552" s="52"/>
      <c r="R552" s="52"/>
      <c r="S552" s="52"/>
      <c r="T552" s="17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</row>
    <row r="553" spans="1:40" ht="60" customHeight="1" x14ac:dyDescent="0.35">
      <c r="A553" s="14"/>
      <c r="B553" s="1"/>
      <c r="C553" s="1"/>
      <c r="D553" s="1"/>
      <c r="E553" s="50"/>
      <c r="F553" s="50"/>
      <c r="G553" s="50"/>
      <c r="H553" s="50"/>
      <c r="I553" s="50"/>
      <c r="J553" s="50"/>
      <c r="K553" s="50"/>
      <c r="L553" s="50"/>
      <c r="M553" s="50"/>
      <c r="N553" s="50"/>
      <c r="O553" s="50"/>
      <c r="P553" s="50"/>
      <c r="Q553" s="50"/>
      <c r="R553" s="50"/>
      <c r="S553" s="50"/>
      <c r="T553" s="17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</row>
    <row r="554" spans="1:40" ht="60" customHeight="1" x14ac:dyDescent="0.35">
      <c r="A554" s="13"/>
      <c r="B554" s="10"/>
      <c r="C554" s="10"/>
      <c r="D554" s="10"/>
      <c r="E554" s="52"/>
      <c r="F554" s="52"/>
      <c r="G554" s="52"/>
      <c r="H554" s="52"/>
      <c r="I554" s="52"/>
      <c r="J554" s="52"/>
      <c r="K554" s="52"/>
      <c r="L554" s="52"/>
      <c r="M554" s="52"/>
      <c r="N554" s="52"/>
      <c r="O554" s="52"/>
      <c r="P554" s="52"/>
      <c r="Q554" s="52"/>
      <c r="R554" s="52"/>
      <c r="S554" s="52"/>
      <c r="T554" s="17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</row>
    <row r="555" spans="1:40" ht="60" customHeight="1" x14ac:dyDescent="0.35">
      <c r="A555" s="14"/>
      <c r="B555" s="11"/>
      <c r="C555" s="11"/>
      <c r="D555" s="11"/>
      <c r="E555" s="53"/>
      <c r="F555" s="53"/>
      <c r="G555" s="53"/>
      <c r="H555" s="53"/>
      <c r="I555" s="53"/>
      <c r="J555" s="53"/>
      <c r="K555" s="53"/>
      <c r="L555" s="53"/>
      <c r="M555" s="53"/>
      <c r="N555" s="53"/>
      <c r="O555" s="53"/>
      <c r="P555" s="53"/>
      <c r="Q555" s="53"/>
      <c r="R555" s="53"/>
      <c r="S555" s="53"/>
      <c r="T555" s="17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</row>
    <row r="556" spans="1:40" ht="60" customHeight="1" x14ac:dyDescent="0.35">
      <c r="A556" s="13"/>
      <c r="B556" s="10"/>
      <c r="C556" s="10"/>
      <c r="D556" s="10"/>
      <c r="E556" s="52"/>
      <c r="F556" s="52"/>
      <c r="G556" s="52"/>
      <c r="H556" s="52"/>
      <c r="I556" s="52"/>
      <c r="J556" s="52"/>
      <c r="K556" s="52"/>
      <c r="L556" s="52"/>
      <c r="M556" s="52"/>
      <c r="N556" s="52"/>
      <c r="O556" s="52"/>
      <c r="P556" s="52"/>
      <c r="Q556" s="52"/>
      <c r="R556" s="52"/>
      <c r="S556" s="52"/>
      <c r="T556" s="17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</row>
    <row r="557" spans="1:40" ht="60" customHeight="1" x14ac:dyDescent="0.35">
      <c r="A557" s="14"/>
      <c r="B557" s="1"/>
      <c r="C557" s="1"/>
      <c r="D557" s="1"/>
      <c r="E557" s="50"/>
      <c r="F557" s="50"/>
      <c r="G557" s="50"/>
      <c r="H557" s="50"/>
      <c r="I557" s="50"/>
      <c r="J557" s="50"/>
      <c r="K557" s="50"/>
      <c r="L557" s="50"/>
      <c r="M557" s="50"/>
      <c r="N557" s="50"/>
      <c r="O557" s="50"/>
      <c r="P557" s="50"/>
      <c r="Q557" s="50"/>
      <c r="R557" s="50"/>
      <c r="S557" s="50"/>
      <c r="T557" s="17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</row>
    <row r="558" spans="1:40" ht="60" customHeight="1" x14ac:dyDescent="0.35">
      <c r="A558" s="13"/>
      <c r="B558" s="10"/>
      <c r="C558" s="10"/>
      <c r="D558" s="10"/>
      <c r="E558" s="52"/>
      <c r="F558" s="52"/>
      <c r="G558" s="52"/>
      <c r="H558" s="52"/>
      <c r="I558" s="52"/>
      <c r="J558" s="52"/>
      <c r="K558" s="52"/>
      <c r="L558" s="52"/>
      <c r="M558" s="52"/>
      <c r="N558" s="52"/>
      <c r="O558" s="52"/>
      <c r="P558" s="52"/>
      <c r="Q558" s="52"/>
      <c r="R558" s="52"/>
      <c r="S558" s="52"/>
      <c r="T558" s="17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</row>
    <row r="559" spans="1:40" ht="60" customHeight="1" x14ac:dyDescent="0.35">
      <c r="A559" s="14"/>
      <c r="B559" s="11"/>
      <c r="C559" s="11"/>
      <c r="D559" s="11"/>
      <c r="E559" s="53"/>
      <c r="F559" s="53"/>
      <c r="G559" s="53"/>
      <c r="H559" s="53"/>
      <c r="I559" s="53"/>
      <c r="J559" s="53"/>
      <c r="K559" s="53"/>
      <c r="L559" s="53"/>
      <c r="M559" s="53"/>
      <c r="N559" s="53"/>
      <c r="O559" s="53"/>
      <c r="P559" s="53"/>
      <c r="Q559" s="53"/>
      <c r="R559" s="53"/>
      <c r="S559" s="53"/>
      <c r="T559" s="17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</row>
    <row r="560" spans="1:40" ht="60" customHeight="1" x14ac:dyDescent="0.35">
      <c r="A560" s="13"/>
      <c r="B560" s="10"/>
      <c r="C560" s="10"/>
      <c r="D560" s="10"/>
      <c r="E560" s="52"/>
      <c r="F560" s="52"/>
      <c r="G560" s="52"/>
      <c r="H560" s="52"/>
      <c r="I560" s="52"/>
      <c r="J560" s="52"/>
      <c r="K560" s="52"/>
      <c r="L560" s="52"/>
      <c r="M560" s="52"/>
      <c r="N560" s="52"/>
      <c r="O560" s="52"/>
      <c r="P560" s="52"/>
      <c r="Q560" s="52"/>
      <c r="R560" s="52"/>
      <c r="S560" s="52"/>
      <c r="T560" s="17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</row>
    <row r="561" spans="1:40" ht="60" customHeight="1" x14ac:dyDescent="0.35">
      <c r="A561" s="14"/>
      <c r="B561" s="1"/>
      <c r="C561" s="1"/>
      <c r="D561" s="1"/>
      <c r="E561" s="50"/>
      <c r="F561" s="50"/>
      <c r="G561" s="50"/>
      <c r="H561" s="50"/>
      <c r="I561" s="50"/>
      <c r="J561" s="50"/>
      <c r="K561" s="50"/>
      <c r="L561" s="50"/>
      <c r="M561" s="50"/>
      <c r="N561" s="50"/>
      <c r="O561" s="50"/>
      <c r="P561" s="50"/>
      <c r="Q561" s="50"/>
      <c r="R561" s="50"/>
      <c r="S561" s="50"/>
      <c r="T561" s="17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</row>
    <row r="562" spans="1:40" ht="60" customHeight="1" x14ac:dyDescent="0.35">
      <c r="A562" s="13"/>
      <c r="B562" s="10"/>
      <c r="C562" s="10"/>
      <c r="D562" s="10"/>
      <c r="E562" s="52"/>
      <c r="F562" s="52"/>
      <c r="G562" s="52"/>
      <c r="H562" s="52"/>
      <c r="I562" s="52"/>
      <c r="J562" s="52"/>
      <c r="K562" s="52"/>
      <c r="L562" s="52"/>
      <c r="M562" s="52"/>
      <c r="N562" s="52"/>
      <c r="O562" s="52"/>
      <c r="P562" s="52"/>
      <c r="Q562" s="52"/>
      <c r="R562" s="52"/>
      <c r="S562" s="52"/>
      <c r="T562" s="17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</row>
    <row r="563" spans="1:40" ht="60" customHeight="1" x14ac:dyDescent="0.35">
      <c r="A563" s="14"/>
      <c r="B563" s="11"/>
      <c r="C563" s="11"/>
      <c r="D563" s="11"/>
      <c r="E563" s="53"/>
      <c r="F563" s="53"/>
      <c r="G563" s="53"/>
      <c r="H563" s="53"/>
      <c r="I563" s="53"/>
      <c r="J563" s="53"/>
      <c r="K563" s="53"/>
      <c r="L563" s="53"/>
      <c r="M563" s="53"/>
      <c r="N563" s="53"/>
      <c r="O563" s="53"/>
      <c r="P563" s="53"/>
      <c r="Q563" s="53"/>
      <c r="R563" s="53"/>
      <c r="S563" s="53"/>
      <c r="T563" s="17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</row>
    <row r="564" spans="1:40" ht="60" customHeight="1" x14ac:dyDescent="0.35">
      <c r="A564" s="13"/>
      <c r="B564" s="10"/>
      <c r="C564" s="10"/>
      <c r="D564" s="10"/>
      <c r="E564" s="52"/>
      <c r="F564" s="52"/>
      <c r="G564" s="52"/>
      <c r="H564" s="52"/>
      <c r="I564" s="52"/>
      <c r="J564" s="52"/>
      <c r="K564" s="52"/>
      <c r="L564" s="52"/>
      <c r="M564" s="52"/>
      <c r="N564" s="52"/>
      <c r="O564" s="52"/>
      <c r="P564" s="52"/>
      <c r="Q564" s="52"/>
      <c r="R564" s="52"/>
      <c r="S564" s="52"/>
      <c r="T564" s="17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</row>
    <row r="565" spans="1:40" ht="60" customHeight="1" x14ac:dyDescent="0.35">
      <c r="A565" s="14"/>
      <c r="B565" s="1"/>
      <c r="C565" s="1"/>
      <c r="D565" s="1"/>
      <c r="E565" s="50"/>
      <c r="F565" s="50"/>
      <c r="G565" s="50"/>
      <c r="H565" s="50"/>
      <c r="I565" s="50"/>
      <c r="J565" s="50"/>
      <c r="K565" s="50"/>
      <c r="L565" s="50"/>
      <c r="M565" s="50"/>
      <c r="N565" s="50"/>
      <c r="O565" s="50"/>
      <c r="P565" s="50"/>
      <c r="Q565" s="50"/>
      <c r="R565" s="50"/>
      <c r="S565" s="50"/>
      <c r="T565" s="17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</row>
    <row r="566" spans="1:40" ht="60" customHeight="1" x14ac:dyDescent="0.35">
      <c r="A566" s="13"/>
      <c r="B566" s="10"/>
      <c r="C566" s="10"/>
      <c r="D566" s="10"/>
      <c r="E566" s="52"/>
      <c r="F566" s="52"/>
      <c r="G566" s="52"/>
      <c r="H566" s="52"/>
      <c r="I566" s="52"/>
      <c r="J566" s="52"/>
      <c r="K566" s="52"/>
      <c r="L566" s="52"/>
      <c r="M566" s="52"/>
      <c r="N566" s="52"/>
      <c r="O566" s="52"/>
      <c r="P566" s="52"/>
      <c r="Q566" s="52"/>
      <c r="R566" s="52"/>
      <c r="S566" s="52"/>
      <c r="T566" s="17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</row>
    <row r="567" spans="1:40" ht="60" customHeight="1" x14ac:dyDescent="0.35">
      <c r="A567" s="14"/>
      <c r="B567" s="1"/>
      <c r="C567" s="1"/>
      <c r="D567" s="1"/>
      <c r="E567" s="50"/>
      <c r="F567" s="50"/>
      <c r="G567" s="50"/>
      <c r="H567" s="50"/>
      <c r="I567" s="50"/>
      <c r="J567" s="50"/>
      <c r="K567" s="50"/>
      <c r="L567" s="50"/>
      <c r="M567" s="50"/>
      <c r="N567" s="50"/>
      <c r="O567" s="50"/>
      <c r="P567" s="50"/>
      <c r="Q567" s="50"/>
      <c r="R567" s="50"/>
      <c r="S567" s="53"/>
      <c r="T567" s="17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</row>
    <row r="568" spans="1:40" ht="60" customHeight="1" x14ac:dyDescent="0.35">
      <c r="A568" s="13"/>
      <c r="B568" s="10"/>
      <c r="C568" s="10"/>
      <c r="D568" s="10"/>
      <c r="E568" s="52"/>
      <c r="F568" s="52"/>
      <c r="G568" s="52"/>
      <c r="H568" s="52"/>
      <c r="I568" s="52"/>
      <c r="J568" s="52"/>
      <c r="K568" s="52"/>
      <c r="L568" s="52"/>
      <c r="M568" s="52"/>
      <c r="N568" s="52"/>
      <c r="O568" s="52"/>
      <c r="P568" s="52"/>
      <c r="Q568" s="52"/>
      <c r="R568" s="52"/>
      <c r="S568" s="52"/>
      <c r="T568" s="17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</row>
    <row r="569" spans="1:40" ht="60" customHeight="1" x14ac:dyDescent="0.35">
      <c r="A569" s="14"/>
      <c r="B569" s="1"/>
      <c r="C569" s="1"/>
      <c r="D569" s="1"/>
      <c r="E569" s="50"/>
      <c r="F569" s="50"/>
      <c r="G569" s="50"/>
      <c r="H569" s="50"/>
      <c r="I569" s="50"/>
      <c r="J569" s="50"/>
      <c r="K569" s="50"/>
      <c r="L569" s="50"/>
      <c r="M569" s="50"/>
      <c r="N569" s="50"/>
      <c r="O569" s="50"/>
      <c r="P569" s="50"/>
      <c r="Q569" s="50"/>
      <c r="R569" s="50"/>
      <c r="S569" s="50"/>
      <c r="T569" s="17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</row>
    <row r="570" spans="1:40" ht="60" customHeight="1" x14ac:dyDescent="0.35">
      <c r="A570" s="13"/>
      <c r="B570" s="10"/>
      <c r="C570" s="10"/>
      <c r="D570" s="10"/>
      <c r="E570" s="52"/>
      <c r="F570" s="52"/>
      <c r="G570" s="52"/>
      <c r="H570" s="52"/>
      <c r="I570" s="52"/>
      <c r="J570" s="52"/>
      <c r="K570" s="52"/>
      <c r="L570" s="52"/>
      <c r="M570" s="52"/>
      <c r="N570" s="52"/>
      <c r="O570" s="52"/>
      <c r="P570" s="52"/>
      <c r="Q570" s="52"/>
      <c r="R570" s="52"/>
      <c r="S570" s="52"/>
      <c r="T570" s="17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</row>
    <row r="571" spans="1:40" ht="60" customHeight="1" x14ac:dyDescent="0.35">
      <c r="A571" s="14"/>
      <c r="B571" s="11"/>
      <c r="C571" s="11"/>
      <c r="D571" s="11"/>
      <c r="E571" s="53"/>
      <c r="F571" s="53"/>
      <c r="G571" s="53"/>
      <c r="H571" s="53"/>
      <c r="I571" s="53"/>
      <c r="J571" s="53"/>
      <c r="K571" s="53"/>
      <c r="L571" s="53"/>
      <c r="M571" s="53"/>
      <c r="N571" s="53"/>
      <c r="O571" s="53"/>
      <c r="P571" s="53"/>
      <c r="Q571" s="53"/>
      <c r="R571" s="53"/>
      <c r="S571" s="53"/>
      <c r="T571" s="17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</row>
    <row r="572" spans="1:40" ht="60" customHeight="1" x14ac:dyDescent="0.35">
      <c r="A572" s="13"/>
      <c r="B572" s="10"/>
      <c r="C572" s="10"/>
      <c r="D572" s="10"/>
      <c r="E572" s="52"/>
      <c r="F572" s="52"/>
      <c r="G572" s="52"/>
      <c r="H572" s="52"/>
      <c r="I572" s="52"/>
      <c r="J572" s="52"/>
      <c r="K572" s="52"/>
      <c r="L572" s="52"/>
      <c r="M572" s="52"/>
      <c r="N572" s="52"/>
      <c r="O572" s="52"/>
      <c r="P572" s="52"/>
      <c r="Q572" s="52"/>
      <c r="R572" s="52"/>
      <c r="S572" s="52"/>
      <c r="T572" s="17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</row>
    <row r="573" spans="1:40" ht="60" customHeight="1" x14ac:dyDescent="0.35">
      <c r="A573" s="14"/>
      <c r="B573" s="1"/>
      <c r="C573" s="1"/>
      <c r="D573" s="1"/>
      <c r="E573" s="50"/>
      <c r="F573" s="50"/>
      <c r="G573" s="50"/>
      <c r="H573" s="50"/>
      <c r="I573" s="50"/>
      <c r="J573" s="50"/>
      <c r="K573" s="50"/>
      <c r="L573" s="50"/>
      <c r="M573" s="50"/>
      <c r="N573" s="50"/>
      <c r="O573" s="50"/>
      <c r="P573" s="50"/>
      <c r="Q573" s="50"/>
      <c r="R573" s="50"/>
      <c r="S573" s="50"/>
      <c r="T573" s="17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</row>
    <row r="574" spans="1:40" ht="60" customHeight="1" x14ac:dyDescent="0.35">
      <c r="A574" s="13"/>
      <c r="B574" s="10"/>
      <c r="C574" s="10"/>
      <c r="D574" s="10"/>
      <c r="E574" s="52"/>
      <c r="F574" s="52"/>
      <c r="G574" s="52"/>
      <c r="H574" s="52"/>
      <c r="I574" s="52"/>
      <c r="J574" s="52"/>
      <c r="K574" s="52"/>
      <c r="L574" s="52"/>
      <c r="M574" s="52"/>
      <c r="N574" s="52"/>
      <c r="O574" s="52"/>
      <c r="P574" s="52"/>
      <c r="Q574" s="52"/>
      <c r="R574" s="52"/>
      <c r="S574" s="52"/>
      <c r="T574" s="17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</row>
    <row r="575" spans="1:40" ht="60" customHeight="1" x14ac:dyDescent="0.35">
      <c r="A575" s="14"/>
      <c r="B575" s="1"/>
      <c r="C575" s="1"/>
      <c r="D575" s="1"/>
      <c r="E575" s="50"/>
      <c r="F575" s="50"/>
      <c r="G575" s="50"/>
      <c r="H575" s="50"/>
      <c r="I575" s="50"/>
      <c r="J575" s="50"/>
      <c r="K575" s="50"/>
      <c r="L575" s="50"/>
      <c r="M575" s="50"/>
      <c r="N575" s="50"/>
      <c r="O575" s="50"/>
      <c r="P575" s="50"/>
      <c r="Q575" s="50"/>
      <c r="R575" s="50"/>
      <c r="S575" s="50"/>
      <c r="T575" s="17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</row>
    <row r="576" spans="1:40" ht="60" customHeight="1" x14ac:dyDescent="0.35">
      <c r="A576" s="13"/>
      <c r="B576" s="10"/>
      <c r="C576" s="10"/>
      <c r="D576" s="10"/>
      <c r="E576" s="52"/>
      <c r="F576" s="52"/>
      <c r="G576" s="52"/>
      <c r="H576" s="52"/>
      <c r="I576" s="52"/>
      <c r="J576" s="52"/>
      <c r="K576" s="52"/>
      <c r="L576" s="52"/>
      <c r="M576" s="52"/>
      <c r="N576" s="52"/>
      <c r="O576" s="52"/>
      <c r="P576" s="52"/>
      <c r="Q576" s="52"/>
      <c r="R576" s="52"/>
      <c r="S576" s="52"/>
      <c r="T576" s="17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</row>
    <row r="577" spans="1:40" ht="60" customHeight="1" x14ac:dyDescent="0.35">
      <c r="A577" s="14"/>
      <c r="B577" s="11"/>
      <c r="C577" s="11"/>
      <c r="D577" s="11"/>
      <c r="E577" s="53"/>
      <c r="F577" s="53"/>
      <c r="G577" s="53"/>
      <c r="H577" s="53"/>
      <c r="I577" s="53"/>
      <c r="J577" s="53"/>
      <c r="K577" s="53"/>
      <c r="L577" s="53"/>
      <c r="M577" s="53"/>
      <c r="N577" s="53"/>
      <c r="O577" s="53"/>
      <c r="P577" s="53"/>
      <c r="Q577" s="53"/>
      <c r="R577" s="53"/>
      <c r="S577" s="53"/>
      <c r="T577" s="17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</row>
    <row r="578" spans="1:40" ht="60" customHeight="1" x14ac:dyDescent="0.35">
      <c r="A578" s="13"/>
      <c r="B578" s="10"/>
      <c r="C578" s="10"/>
      <c r="D578" s="10"/>
      <c r="E578" s="52"/>
      <c r="F578" s="52"/>
      <c r="G578" s="52"/>
      <c r="H578" s="52"/>
      <c r="I578" s="52"/>
      <c r="J578" s="52"/>
      <c r="K578" s="52"/>
      <c r="L578" s="52"/>
      <c r="M578" s="52"/>
      <c r="N578" s="52"/>
      <c r="O578" s="52"/>
      <c r="P578" s="52"/>
      <c r="Q578" s="52"/>
      <c r="R578" s="52"/>
      <c r="S578" s="52"/>
      <c r="T578" s="17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</row>
    <row r="579" spans="1:40" ht="60" customHeight="1" x14ac:dyDescent="0.35">
      <c r="A579" s="14"/>
      <c r="B579" s="1"/>
      <c r="C579" s="1"/>
      <c r="D579" s="1"/>
      <c r="E579" s="50"/>
      <c r="F579" s="50"/>
      <c r="G579" s="50"/>
      <c r="H579" s="50"/>
      <c r="I579" s="50"/>
      <c r="J579" s="50"/>
      <c r="K579" s="50"/>
      <c r="L579" s="50"/>
      <c r="M579" s="50"/>
      <c r="N579" s="50"/>
      <c r="O579" s="50"/>
      <c r="P579" s="50"/>
      <c r="Q579" s="50"/>
      <c r="R579" s="50"/>
      <c r="S579" s="50"/>
      <c r="T579" s="17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</row>
    <row r="580" spans="1:40" ht="60" customHeight="1" x14ac:dyDescent="0.35">
      <c r="A580" s="13"/>
      <c r="B580" s="10"/>
      <c r="C580" s="10"/>
      <c r="D580" s="10"/>
      <c r="E580" s="52"/>
      <c r="F580" s="52"/>
      <c r="G580" s="52"/>
      <c r="H580" s="52"/>
      <c r="I580" s="52"/>
      <c r="J580" s="52"/>
      <c r="K580" s="52"/>
      <c r="L580" s="52"/>
      <c r="M580" s="52"/>
      <c r="N580" s="52"/>
      <c r="O580" s="52"/>
      <c r="P580" s="52"/>
      <c r="Q580" s="52"/>
      <c r="R580" s="52"/>
      <c r="S580" s="52"/>
      <c r="T580" s="17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</row>
    <row r="581" spans="1:40" ht="60" customHeight="1" x14ac:dyDescent="0.35">
      <c r="A581" s="14"/>
      <c r="B581" s="1"/>
      <c r="C581" s="1"/>
      <c r="D581" s="1"/>
      <c r="E581" s="50"/>
      <c r="F581" s="50"/>
      <c r="G581" s="50"/>
      <c r="H581" s="50"/>
      <c r="I581" s="50"/>
      <c r="J581" s="50"/>
      <c r="K581" s="50"/>
      <c r="L581" s="50"/>
      <c r="M581" s="50"/>
      <c r="N581" s="50"/>
      <c r="O581" s="50"/>
      <c r="P581" s="50"/>
      <c r="Q581" s="50"/>
      <c r="R581" s="50"/>
      <c r="S581" s="50"/>
      <c r="T581" s="17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</row>
    <row r="582" spans="1:40" ht="60" customHeight="1" x14ac:dyDescent="0.35">
      <c r="A582" s="13"/>
      <c r="B582" s="10"/>
      <c r="C582" s="10"/>
      <c r="D582" s="10"/>
      <c r="E582" s="52"/>
      <c r="F582" s="52"/>
      <c r="G582" s="52"/>
      <c r="H582" s="52"/>
      <c r="I582" s="52"/>
      <c r="J582" s="52"/>
      <c r="K582" s="52"/>
      <c r="L582" s="52"/>
      <c r="M582" s="52"/>
      <c r="N582" s="52"/>
      <c r="O582" s="52"/>
      <c r="P582" s="52"/>
      <c r="Q582" s="52"/>
      <c r="R582" s="52"/>
      <c r="S582" s="52"/>
      <c r="T582" s="17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</row>
    <row r="583" spans="1:40" ht="60" customHeight="1" x14ac:dyDescent="0.35">
      <c r="A583" s="14"/>
      <c r="B583" s="11"/>
      <c r="C583" s="11"/>
      <c r="D583" s="11"/>
      <c r="E583" s="53"/>
      <c r="F583" s="53"/>
      <c r="G583" s="53"/>
      <c r="H583" s="53"/>
      <c r="I583" s="53"/>
      <c r="J583" s="53"/>
      <c r="K583" s="53"/>
      <c r="L583" s="53"/>
      <c r="M583" s="53"/>
      <c r="N583" s="53"/>
      <c r="O583" s="53"/>
      <c r="P583" s="53"/>
      <c r="Q583" s="53"/>
      <c r="R583" s="53"/>
      <c r="S583" s="53"/>
      <c r="T583" s="17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</row>
    <row r="584" spans="1:40" ht="60" customHeight="1" x14ac:dyDescent="0.35">
      <c r="A584" s="13"/>
      <c r="B584" s="10"/>
      <c r="C584" s="10"/>
      <c r="D584" s="10"/>
      <c r="E584" s="52"/>
      <c r="F584" s="52"/>
      <c r="G584" s="52"/>
      <c r="H584" s="52"/>
      <c r="I584" s="52"/>
      <c r="J584" s="52"/>
      <c r="K584" s="52"/>
      <c r="L584" s="52"/>
      <c r="M584" s="52"/>
      <c r="N584" s="52"/>
      <c r="O584" s="52"/>
      <c r="P584" s="52"/>
      <c r="Q584" s="52"/>
      <c r="R584" s="52"/>
      <c r="S584" s="52"/>
      <c r="T584" s="17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</row>
    <row r="585" spans="1:40" ht="60" customHeight="1" x14ac:dyDescent="0.35">
      <c r="A585" s="14"/>
      <c r="B585" s="11"/>
      <c r="C585" s="11"/>
      <c r="D585" s="11"/>
      <c r="E585" s="53"/>
      <c r="F585" s="53"/>
      <c r="G585" s="53"/>
      <c r="H585" s="53"/>
      <c r="I585" s="53"/>
      <c r="J585" s="53"/>
      <c r="K585" s="53"/>
      <c r="L585" s="53"/>
      <c r="M585" s="53"/>
      <c r="N585" s="53"/>
      <c r="O585" s="53"/>
      <c r="P585" s="53"/>
      <c r="Q585" s="53"/>
      <c r="R585" s="53"/>
      <c r="S585" s="53"/>
      <c r="T585" s="17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</row>
    <row r="586" spans="1:40" ht="60" customHeight="1" x14ac:dyDescent="0.35">
      <c r="A586" s="13"/>
      <c r="B586" s="10"/>
      <c r="C586" s="10"/>
      <c r="D586" s="10"/>
      <c r="E586" s="52"/>
      <c r="F586" s="52"/>
      <c r="G586" s="52"/>
      <c r="H586" s="52"/>
      <c r="I586" s="52"/>
      <c r="J586" s="52"/>
      <c r="K586" s="52"/>
      <c r="L586" s="52"/>
      <c r="M586" s="52"/>
      <c r="N586" s="52"/>
      <c r="O586" s="52"/>
      <c r="P586" s="52"/>
      <c r="Q586" s="52"/>
      <c r="R586" s="52"/>
      <c r="S586" s="52"/>
      <c r="T586" s="17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</row>
    <row r="587" spans="1:40" ht="60" customHeight="1" x14ac:dyDescent="0.35">
      <c r="A587" s="14"/>
      <c r="B587" s="11"/>
      <c r="C587" s="11"/>
      <c r="D587" s="11"/>
      <c r="E587" s="53"/>
      <c r="F587" s="53"/>
      <c r="G587" s="53"/>
      <c r="H587" s="53"/>
      <c r="I587" s="53"/>
      <c r="J587" s="53"/>
      <c r="K587" s="53"/>
      <c r="L587" s="53"/>
      <c r="M587" s="53"/>
      <c r="N587" s="53"/>
      <c r="O587" s="53"/>
      <c r="P587" s="53"/>
      <c r="Q587" s="53"/>
      <c r="R587" s="53"/>
      <c r="S587" s="53"/>
      <c r="T587" s="17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</row>
    <row r="588" spans="1:40" ht="60" customHeight="1" x14ac:dyDescent="0.35">
      <c r="A588" s="13"/>
      <c r="B588" s="10"/>
      <c r="C588" s="10"/>
      <c r="D588" s="10"/>
      <c r="E588" s="52"/>
      <c r="F588" s="52"/>
      <c r="G588" s="52"/>
      <c r="H588" s="52"/>
      <c r="I588" s="52"/>
      <c r="J588" s="52"/>
      <c r="K588" s="52"/>
      <c r="L588" s="52"/>
      <c r="M588" s="52"/>
      <c r="N588" s="52"/>
      <c r="O588" s="52"/>
      <c r="P588" s="52"/>
      <c r="Q588" s="52"/>
      <c r="R588" s="52"/>
      <c r="S588" s="52"/>
      <c r="T588" s="17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</row>
    <row r="589" spans="1:40" ht="60" customHeight="1" x14ac:dyDescent="0.35">
      <c r="A589" s="14"/>
      <c r="B589" s="11"/>
      <c r="C589" s="11"/>
      <c r="D589" s="11"/>
      <c r="E589" s="53"/>
      <c r="F589" s="53"/>
      <c r="G589" s="53"/>
      <c r="H589" s="53"/>
      <c r="I589" s="53"/>
      <c r="J589" s="53"/>
      <c r="K589" s="53"/>
      <c r="L589" s="53"/>
      <c r="M589" s="53"/>
      <c r="N589" s="53"/>
      <c r="O589" s="53"/>
      <c r="P589" s="53"/>
      <c r="Q589" s="53"/>
      <c r="R589" s="53"/>
      <c r="S589" s="53"/>
      <c r="T589" s="17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</row>
    <row r="590" spans="1:40" ht="60" customHeight="1" x14ac:dyDescent="0.35">
      <c r="A590" s="13"/>
      <c r="B590" s="10"/>
      <c r="C590" s="10"/>
      <c r="D590" s="10"/>
      <c r="E590" s="52"/>
      <c r="F590" s="52"/>
      <c r="G590" s="52"/>
      <c r="H590" s="52"/>
      <c r="I590" s="52"/>
      <c r="J590" s="52"/>
      <c r="K590" s="52"/>
      <c r="L590" s="52"/>
      <c r="M590" s="52"/>
      <c r="N590" s="52"/>
      <c r="O590" s="52"/>
      <c r="P590" s="52"/>
      <c r="Q590" s="52"/>
      <c r="R590" s="52"/>
      <c r="S590" s="52"/>
      <c r="T590" s="17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</row>
    <row r="591" spans="1:40" ht="60" customHeight="1" x14ac:dyDescent="0.35">
      <c r="A591" s="14"/>
      <c r="B591" s="1"/>
      <c r="C591" s="1"/>
      <c r="D591" s="1"/>
      <c r="E591" s="50"/>
      <c r="F591" s="50"/>
      <c r="G591" s="50"/>
      <c r="H591" s="50"/>
      <c r="I591" s="50"/>
      <c r="J591" s="50"/>
      <c r="K591" s="50"/>
      <c r="L591" s="50"/>
      <c r="M591" s="50"/>
      <c r="N591" s="50"/>
      <c r="O591" s="50"/>
      <c r="P591" s="50"/>
      <c r="Q591" s="50"/>
      <c r="R591" s="50"/>
      <c r="S591" s="50"/>
      <c r="T591" s="17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</row>
    <row r="592" spans="1:40" ht="60" customHeight="1" x14ac:dyDescent="0.35">
      <c r="A592" s="13"/>
      <c r="B592" s="10"/>
      <c r="C592" s="10"/>
      <c r="D592" s="10"/>
      <c r="E592" s="52"/>
      <c r="F592" s="52"/>
      <c r="G592" s="52"/>
      <c r="H592" s="52"/>
      <c r="I592" s="52"/>
      <c r="J592" s="52"/>
      <c r="K592" s="52"/>
      <c r="L592" s="52"/>
      <c r="M592" s="52"/>
      <c r="N592" s="52"/>
      <c r="O592" s="52"/>
      <c r="P592" s="52"/>
      <c r="Q592" s="52"/>
      <c r="R592" s="52"/>
      <c r="S592" s="52"/>
      <c r="T592" s="17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</row>
    <row r="593" spans="1:40" ht="60" customHeight="1" x14ac:dyDescent="0.35">
      <c r="A593" s="14"/>
      <c r="B593" s="1"/>
      <c r="C593" s="1"/>
      <c r="D593" s="1"/>
      <c r="E593" s="50"/>
      <c r="F593" s="50"/>
      <c r="G593" s="50"/>
      <c r="H593" s="50"/>
      <c r="I593" s="50"/>
      <c r="J593" s="50"/>
      <c r="K593" s="50"/>
      <c r="L593" s="50"/>
      <c r="M593" s="50"/>
      <c r="N593" s="50"/>
      <c r="O593" s="50"/>
      <c r="P593" s="50"/>
      <c r="Q593" s="50"/>
      <c r="R593" s="50"/>
      <c r="S593" s="50"/>
      <c r="T593" s="17"/>
      <c r="U593" s="5" t="s">
        <v>12</v>
      </c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</row>
    <row r="594" spans="1:40" ht="60" customHeight="1" x14ac:dyDescent="0.35">
      <c r="A594" s="13"/>
      <c r="B594" s="10"/>
      <c r="C594" s="10"/>
      <c r="D594" s="10"/>
      <c r="E594" s="52"/>
      <c r="F594" s="52"/>
      <c r="G594" s="52"/>
      <c r="H594" s="52"/>
      <c r="I594" s="52"/>
      <c r="J594" s="52"/>
      <c r="K594" s="52"/>
      <c r="L594" s="52"/>
      <c r="M594" s="52"/>
      <c r="N594" s="52"/>
      <c r="O594" s="52"/>
      <c r="P594" s="52"/>
      <c r="Q594" s="52"/>
      <c r="R594" s="52"/>
      <c r="S594" s="52"/>
      <c r="T594" s="17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</row>
    <row r="595" spans="1:40" ht="60" customHeight="1" x14ac:dyDescent="0.35">
      <c r="A595" s="14"/>
      <c r="B595" s="11"/>
      <c r="C595" s="11"/>
      <c r="D595" s="11"/>
      <c r="E595" s="53"/>
      <c r="F595" s="53"/>
      <c r="G595" s="53"/>
      <c r="H595" s="53"/>
      <c r="I595" s="53"/>
      <c r="J595" s="53"/>
      <c r="K595" s="53"/>
      <c r="L595" s="53"/>
      <c r="M595" s="53"/>
      <c r="N595" s="53"/>
      <c r="O595" s="53"/>
      <c r="P595" s="53"/>
      <c r="Q595" s="53"/>
      <c r="R595" s="53"/>
      <c r="S595" s="53"/>
      <c r="T595" s="17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</row>
    <row r="596" spans="1:40" ht="60" customHeight="1" x14ac:dyDescent="0.35">
      <c r="A596" s="13"/>
      <c r="B596" s="10"/>
      <c r="C596" s="10"/>
      <c r="D596" s="10"/>
      <c r="E596" s="52"/>
      <c r="F596" s="52"/>
      <c r="G596" s="52"/>
      <c r="H596" s="52"/>
      <c r="I596" s="52"/>
      <c r="J596" s="52"/>
      <c r="K596" s="52"/>
      <c r="L596" s="52"/>
      <c r="M596" s="52"/>
      <c r="N596" s="52"/>
      <c r="O596" s="52"/>
      <c r="P596" s="52"/>
      <c r="Q596" s="52"/>
      <c r="R596" s="52"/>
      <c r="S596" s="52"/>
      <c r="T596" s="17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</row>
    <row r="597" spans="1:40" ht="60" customHeight="1" x14ac:dyDescent="0.35">
      <c r="A597" s="14"/>
      <c r="B597" s="11"/>
      <c r="C597" s="11"/>
      <c r="D597" s="11"/>
      <c r="E597" s="53"/>
      <c r="F597" s="53"/>
      <c r="G597" s="53"/>
      <c r="H597" s="53"/>
      <c r="I597" s="53"/>
      <c r="J597" s="53"/>
      <c r="K597" s="53"/>
      <c r="L597" s="53"/>
      <c r="M597" s="53"/>
      <c r="N597" s="53"/>
      <c r="O597" s="53"/>
      <c r="P597" s="53"/>
      <c r="Q597" s="53"/>
      <c r="R597" s="53"/>
      <c r="S597" s="53"/>
      <c r="T597" s="17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</row>
    <row r="598" spans="1:40" ht="60" customHeight="1" x14ac:dyDescent="0.35">
      <c r="A598" s="13"/>
      <c r="B598" s="10"/>
      <c r="C598" s="10"/>
      <c r="D598" s="10"/>
      <c r="E598" s="52"/>
      <c r="F598" s="52"/>
      <c r="G598" s="52"/>
      <c r="H598" s="52"/>
      <c r="I598" s="52"/>
      <c r="J598" s="52"/>
      <c r="K598" s="52"/>
      <c r="L598" s="52"/>
      <c r="M598" s="52"/>
      <c r="N598" s="52"/>
      <c r="O598" s="52"/>
      <c r="P598" s="52"/>
      <c r="Q598" s="52"/>
      <c r="R598" s="52"/>
      <c r="S598" s="52"/>
      <c r="T598" s="17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</row>
    <row r="599" spans="1:40" ht="60" customHeight="1" x14ac:dyDescent="0.35">
      <c r="A599" s="14"/>
      <c r="B599" s="11"/>
      <c r="C599" s="11"/>
      <c r="D599" s="11"/>
      <c r="E599" s="53"/>
      <c r="F599" s="53"/>
      <c r="G599" s="53"/>
      <c r="H599" s="53"/>
      <c r="I599" s="53"/>
      <c r="J599" s="53"/>
      <c r="K599" s="53"/>
      <c r="L599" s="53"/>
      <c r="M599" s="53"/>
      <c r="N599" s="53"/>
      <c r="O599" s="53"/>
      <c r="P599" s="53"/>
      <c r="Q599" s="53"/>
      <c r="R599" s="53"/>
      <c r="S599" s="53"/>
      <c r="T599" s="17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</row>
    <row r="600" spans="1:40" ht="60" customHeight="1" x14ac:dyDescent="0.35">
      <c r="A600" s="13"/>
      <c r="B600" s="10"/>
      <c r="C600" s="10"/>
      <c r="D600" s="10"/>
      <c r="E600" s="52"/>
      <c r="F600" s="52"/>
      <c r="G600" s="52"/>
      <c r="H600" s="52"/>
      <c r="I600" s="52"/>
      <c r="J600" s="52"/>
      <c r="K600" s="52"/>
      <c r="L600" s="52"/>
      <c r="M600" s="52"/>
      <c r="N600" s="52"/>
      <c r="O600" s="52"/>
      <c r="P600" s="52"/>
      <c r="Q600" s="52"/>
      <c r="R600" s="52"/>
      <c r="S600" s="52"/>
      <c r="T600" s="17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</row>
    <row r="601" spans="1:40" ht="60" customHeight="1" x14ac:dyDescent="0.35">
      <c r="A601" s="14"/>
      <c r="B601" s="1"/>
      <c r="C601" s="1"/>
      <c r="D601" s="1"/>
      <c r="E601" s="50"/>
      <c r="F601" s="50"/>
      <c r="G601" s="50"/>
      <c r="H601" s="50"/>
      <c r="I601" s="50"/>
      <c r="J601" s="50"/>
      <c r="K601" s="50"/>
      <c r="L601" s="50"/>
      <c r="M601" s="50"/>
      <c r="N601" s="50"/>
      <c r="O601" s="50"/>
      <c r="P601" s="50"/>
      <c r="Q601" s="50"/>
      <c r="R601" s="50"/>
      <c r="S601" s="50"/>
      <c r="T601" s="17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</row>
    <row r="602" spans="1:40" ht="60" customHeight="1" x14ac:dyDescent="0.35">
      <c r="A602" s="13"/>
      <c r="B602" s="10"/>
      <c r="C602" s="10"/>
      <c r="D602" s="10"/>
      <c r="E602" s="52"/>
      <c r="F602" s="52"/>
      <c r="G602" s="52"/>
      <c r="H602" s="52"/>
      <c r="I602" s="52"/>
      <c r="J602" s="52"/>
      <c r="K602" s="52"/>
      <c r="L602" s="52"/>
      <c r="M602" s="52"/>
      <c r="N602" s="52"/>
      <c r="O602" s="52"/>
      <c r="P602" s="52"/>
      <c r="Q602" s="52"/>
      <c r="R602" s="52"/>
      <c r="S602" s="52"/>
      <c r="T602" s="17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</row>
    <row r="603" spans="1:40" ht="60" customHeight="1" x14ac:dyDescent="0.35">
      <c r="A603" s="14"/>
      <c r="B603" s="1"/>
      <c r="C603" s="1"/>
      <c r="D603" s="1"/>
      <c r="E603" s="50"/>
      <c r="F603" s="50"/>
      <c r="G603" s="50"/>
      <c r="H603" s="50"/>
      <c r="I603" s="50"/>
      <c r="J603" s="50"/>
      <c r="K603" s="50"/>
      <c r="L603" s="50"/>
      <c r="M603" s="50"/>
      <c r="N603" s="50"/>
      <c r="O603" s="50"/>
      <c r="P603" s="50"/>
      <c r="Q603" s="50"/>
      <c r="R603" s="50"/>
      <c r="S603" s="53"/>
      <c r="T603" s="17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</row>
    <row r="604" spans="1:40" ht="60" customHeight="1" x14ac:dyDescent="0.35">
      <c r="A604" s="13"/>
      <c r="B604" s="10"/>
      <c r="C604" s="10"/>
      <c r="D604" s="10"/>
      <c r="E604" s="52"/>
      <c r="F604" s="52"/>
      <c r="G604" s="52"/>
      <c r="H604" s="52"/>
      <c r="I604" s="52"/>
      <c r="J604" s="52"/>
      <c r="K604" s="52"/>
      <c r="L604" s="52"/>
      <c r="M604" s="52"/>
      <c r="N604" s="52"/>
      <c r="O604" s="52"/>
      <c r="P604" s="52"/>
      <c r="Q604" s="52"/>
      <c r="R604" s="52"/>
      <c r="S604" s="52"/>
      <c r="T604" s="17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</row>
    <row r="605" spans="1:40" ht="60" customHeight="1" x14ac:dyDescent="0.35">
      <c r="A605" s="14"/>
      <c r="B605" s="11"/>
      <c r="C605" s="11"/>
      <c r="D605" s="11"/>
      <c r="E605" s="53"/>
      <c r="F605" s="53"/>
      <c r="G605" s="53"/>
      <c r="H605" s="53"/>
      <c r="I605" s="53"/>
      <c r="J605" s="53"/>
      <c r="K605" s="53"/>
      <c r="L605" s="53"/>
      <c r="M605" s="53"/>
      <c r="N605" s="53"/>
      <c r="O605" s="53"/>
      <c r="P605" s="53"/>
      <c r="Q605" s="53"/>
      <c r="R605" s="53"/>
      <c r="S605" s="53"/>
      <c r="T605" s="17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</row>
    <row r="606" spans="1:40" ht="60" customHeight="1" x14ac:dyDescent="0.35">
      <c r="A606" s="13"/>
      <c r="B606" s="10"/>
      <c r="C606" s="10"/>
      <c r="D606" s="10"/>
      <c r="E606" s="52"/>
      <c r="F606" s="52"/>
      <c r="G606" s="52"/>
      <c r="H606" s="52"/>
      <c r="I606" s="52"/>
      <c r="J606" s="52"/>
      <c r="K606" s="52"/>
      <c r="L606" s="52"/>
      <c r="M606" s="52"/>
      <c r="N606" s="52"/>
      <c r="O606" s="52"/>
      <c r="P606" s="52"/>
      <c r="Q606" s="52"/>
      <c r="R606" s="52"/>
      <c r="S606" s="52"/>
      <c r="T606" s="17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</row>
    <row r="607" spans="1:40" ht="60" customHeight="1" x14ac:dyDescent="0.35">
      <c r="A607" s="14"/>
      <c r="B607" s="11"/>
      <c r="C607" s="11"/>
      <c r="D607" s="11"/>
      <c r="E607" s="53"/>
      <c r="F607" s="53"/>
      <c r="G607" s="53"/>
      <c r="H607" s="53"/>
      <c r="I607" s="53"/>
      <c r="J607" s="53"/>
      <c r="K607" s="53"/>
      <c r="L607" s="53"/>
      <c r="M607" s="53"/>
      <c r="N607" s="53"/>
      <c r="O607" s="53"/>
      <c r="P607" s="53"/>
      <c r="Q607" s="53"/>
      <c r="R607" s="53"/>
      <c r="S607" s="53"/>
      <c r="T607" s="17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</row>
    <row r="608" spans="1:40" ht="60" customHeight="1" x14ac:dyDescent="0.35">
      <c r="A608" s="13"/>
      <c r="B608" s="10"/>
      <c r="C608" s="10"/>
      <c r="D608" s="10"/>
      <c r="E608" s="52"/>
      <c r="F608" s="52"/>
      <c r="G608" s="52"/>
      <c r="H608" s="52"/>
      <c r="I608" s="52"/>
      <c r="J608" s="52"/>
      <c r="K608" s="52"/>
      <c r="L608" s="52"/>
      <c r="M608" s="52"/>
      <c r="N608" s="52"/>
      <c r="O608" s="52"/>
      <c r="P608" s="52"/>
      <c r="Q608" s="52"/>
      <c r="R608" s="52"/>
      <c r="S608" s="52"/>
      <c r="T608" s="17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</row>
    <row r="609" spans="1:40" ht="60" customHeight="1" x14ac:dyDescent="0.35">
      <c r="A609" s="14"/>
      <c r="B609" s="1"/>
      <c r="C609" s="1"/>
      <c r="D609" s="1"/>
      <c r="E609" s="50"/>
      <c r="F609" s="50"/>
      <c r="G609" s="50"/>
      <c r="H609" s="50"/>
      <c r="I609" s="50"/>
      <c r="J609" s="50"/>
      <c r="K609" s="50"/>
      <c r="L609" s="50"/>
      <c r="M609" s="50"/>
      <c r="N609" s="50"/>
      <c r="O609" s="50"/>
      <c r="P609" s="50"/>
      <c r="Q609" s="50"/>
      <c r="R609" s="50"/>
      <c r="S609" s="53"/>
      <c r="T609" s="17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</row>
    <row r="610" spans="1:40" ht="60" customHeight="1" x14ac:dyDescent="0.35">
      <c r="A610" s="13"/>
      <c r="B610" s="10"/>
      <c r="C610" s="10"/>
      <c r="D610" s="10"/>
      <c r="E610" s="52"/>
      <c r="F610" s="52"/>
      <c r="G610" s="52"/>
      <c r="H610" s="52"/>
      <c r="I610" s="52"/>
      <c r="J610" s="52"/>
      <c r="K610" s="52"/>
      <c r="L610" s="52"/>
      <c r="M610" s="52"/>
      <c r="N610" s="52"/>
      <c r="O610" s="52"/>
      <c r="P610" s="52"/>
      <c r="Q610" s="52"/>
      <c r="R610" s="52"/>
      <c r="S610" s="52"/>
      <c r="T610" s="17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</row>
    <row r="611" spans="1:40" ht="60" customHeight="1" x14ac:dyDescent="0.35">
      <c r="A611" s="14"/>
      <c r="B611" s="11"/>
      <c r="C611" s="11"/>
      <c r="D611" s="11"/>
      <c r="E611" s="53"/>
      <c r="F611" s="53"/>
      <c r="G611" s="53"/>
      <c r="H611" s="53"/>
      <c r="I611" s="53"/>
      <c r="J611" s="53"/>
      <c r="K611" s="53"/>
      <c r="L611" s="53"/>
      <c r="M611" s="53"/>
      <c r="N611" s="53"/>
      <c r="O611" s="53"/>
      <c r="P611" s="53"/>
      <c r="Q611" s="53"/>
      <c r="R611" s="53"/>
      <c r="S611" s="53"/>
      <c r="T611" s="17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</row>
    <row r="612" spans="1:40" ht="60" customHeight="1" x14ac:dyDescent="0.35">
      <c r="A612" s="13"/>
      <c r="B612" s="10"/>
      <c r="C612" s="10"/>
      <c r="D612" s="10"/>
      <c r="E612" s="52"/>
      <c r="F612" s="52"/>
      <c r="G612" s="52"/>
      <c r="H612" s="52"/>
      <c r="I612" s="52"/>
      <c r="J612" s="52"/>
      <c r="K612" s="52"/>
      <c r="L612" s="52"/>
      <c r="M612" s="52"/>
      <c r="N612" s="52"/>
      <c r="O612" s="52"/>
      <c r="P612" s="52"/>
      <c r="Q612" s="52"/>
      <c r="R612" s="52"/>
      <c r="S612" s="52"/>
      <c r="T612" s="17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</row>
    <row r="613" spans="1:40" ht="60" customHeight="1" x14ac:dyDescent="0.35">
      <c r="A613" s="14"/>
      <c r="B613" s="11"/>
      <c r="C613" s="11"/>
      <c r="D613" s="11"/>
      <c r="E613" s="53"/>
      <c r="F613" s="53"/>
      <c r="G613" s="53"/>
      <c r="H613" s="53"/>
      <c r="I613" s="53"/>
      <c r="J613" s="53"/>
      <c r="K613" s="53"/>
      <c r="L613" s="53"/>
      <c r="M613" s="53"/>
      <c r="N613" s="53"/>
      <c r="O613" s="53"/>
      <c r="P613" s="53"/>
      <c r="Q613" s="53"/>
      <c r="R613" s="53"/>
      <c r="S613" s="53"/>
      <c r="T613" s="17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</row>
    <row r="614" spans="1:40" ht="60" customHeight="1" x14ac:dyDescent="0.35">
      <c r="A614" s="13"/>
      <c r="B614" s="10"/>
      <c r="C614" s="10"/>
      <c r="D614" s="10"/>
      <c r="E614" s="52"/>
      <c r="F614" s="52"/>
      <c r="G614" s="52"/>
      <c r="H614" s="52"/>
      <c r="I614" s="52"/>
      <c r="J614" s="52"/>
      <c r="K614" s="52"/>
      <c r="L614" s="52"/>
      <c r="M614" s="52"/>
      <c r="N614" s="52"/>
      <c r="O614" s="52"/>
      <c r="P614" s="52"/>
      <c r="Q614" s="52"/>
      <c r="R614" s="52"/>
      <c r="S614" s="52"/>
      <c r="T614" s="17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</row>
    <row r="615" spans="1:40" ht="60" customHeight="1" x14ac:dyDescent="0.35">
      <c r="A615" s="14"/>
      <c r="B615" s="1"/>
      <c r="C615" s="1"/>
      <c r="D615" s="1"/>
      <c r="E615" s="50"/>
      <c r="F615" s="50"/>
      <c r="G615" s="50"/>
      <c r="H615" s="50"/>
      <c r="I615" s="50"/>
      <c r="J615" s="50"/>
      <c r="K615" s="50"/>
      <c r="L615" s="50"/>
      <c r="M615" s="50"/>
      <c r="N615" s="50"/>
      <c r="O615" s="50"/>
      <c r="P615" s="50"/>
      <c r="Q615" s="50"/>
      <c r="R615" s="50"/>
      <c r="S615" s="53"/>
      <c r="T615" s="17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</row>
    <row r="616" spans="1:40" ht="60" customHeight="1" x14ac:dyDescent="0.35">
      <c r="A616" s="13"/>
      <c r="B616" s="10"/>
      <c r="C616" s="10"/>
      <c r="D616" s="10"/>
      <c r="E616" s="52"/>
      <c r="F616" s="52"/>
      <c r="G616" s="52"/>
      <c r="H616" s="52"/>
      <c r="I616" s="52"/>
      <c r="J616" s="52"/>
      <c r="K616" s="52"/>
      <c r="L616" s="52"/>
      <c r="M616" s="52"/>
      <c r="N616" s="52"/>
      <c r="O616" s="52"/>
      <c r="P616" s="52"/>
      <c r="Q616" s="52"/>
      <c r="R616" s="52"/>
      <c r="S616" s="52"/>
      <c r="T616" s="17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</row>
    <row r="617" spans="1:40" ht="60" customHeight="1" x14ac:dyDescent="0.35">
      <c r="A617" s="14"/>
      <c r="B617" s="11"/>
      <c r="C617" s="11"/>
      <c r="D617" s="11"/>
      <c r="E617" s="53"/>
      <c r="F617" s="53"/>
      <c r="G617" s="53"/>
      <c r="H617" s="53"/>
      <c r="I617" s="53"/>
      <c r="J617" s="53"/>
      <c r="K617" s="53"/>
      <c r="L617" s="53"/>
      <c r="M617" s="53"/>
      <c r="N617" s="53"/>
      <c r="O617" s="53"/>
      <c r="P617" s="53"/>
      <c r="Q617" s="53"/>
      <c r="R617" s="53"/>
      <c r="S617" s="53"/>
      <c r="T617" s="17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</row>
    <row r="618" spans="1:40" ht="60" customHeight="1" x14ac:dyDescent="0.35">
      <c r="A618" s="13"/>
      <c r="B618" s="10"/>
      <c r="C618" s="10"/>
      <c r="D618" s="10"/>
      <c r="E618" s="52"/>
      <c r="F618" s="52"/>
      <c r="G618" s="52"/>
      <c r="H618" s="52"/>
      <c r="I618" s="52"/>
      <c r="J618" s="52"/>
      <c r="K618" s="52"/>
      <c r="L618" s="52"/>
      <c r="M618" s="52"/>
      <c r="N618" s="52"/>
      <c r="O618" s="52"/>
      <c r="P618" s="52"/>
      <c r="Q618" s="52"/>
      <c r="R618" s="52"/>
      <c r="S618" s="52"/>
      <c r="T618" s="17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</row>
    <row r="619" spans="1:40" ht="60" customHeight="1" x14ac:dyDescent="0.35">
      <c r="A619" s="14"/>
      <c r="B619" s="11"/>
      <c r="C619" s="11"/>
      <c r="D619" s="11"/>
      <c r="E619" s="53"/>
      <c r="F619" s="53"/>
      <c r="G619" s="53"/>
      <c r="H619" s="53"/>
      <c r="I619" s="53"/>
      <c r="J619" s="53"/>
      <c r="K619" s="53"/>
      <c r="L619" s="53"/>
      <c r="M619" s="53"/>
      <c r="N619" s="53"/>
      <c r="O619" s="53"/>
      <c r="P619" s="53"/>
      <c r="Q619" s="53"/>
      <c r="R619" s="53"/>
      <c r="S619" s="53"/>
      <c r="T619" s="17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</row>
    <row r="620" spans="1:40" ht="60" customHeight="1" x14ac:dyDescent="0.35">
      <c r="A620" s="13"/>
      <c r="B620" s="10"/>
      <c r="C620" s="10"/>
      <c r="D620" s="10"/>
      <c r="E620" s="52"/>
      <c r="F620" s="52"/>
      <c r="G620" s="52"/>
      <c r="H620" s="52"/>
      <c r="I620" s="52"/>
      <c r="J620" s="52"/>
      <c r="K620" s="52"/>
      <c r="L620" s="52"/>
      <c r="M620" s="52"/>
      <c r="N620" s="52"/>
      <c r="O620" s="52"/>
      <c r="P620" s="52"/>
      <c r="Q620" s="52"/>
      <c r="R620" s="52"/>
      <c r="S620" s="52"/>
      <c r="T620" s="17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</row>
    <row r="621" spans="1:40" ht="60" customHeight="1" x14ac:dyDescent="0.35">
      <c r="A621" s="14"/>
      <c r="B621" s="11"/>
      <c r="C621" s="11"/>
      <c r="D621" s="11"/>
      <c r="E621" s="53"/>
      <c r="F621" s="53"/>
      <c r="G621" s="53"/>
      <c r="H621" s="53"/>
      <c r="I621" s="53"/>
      <c r="J621" s="53"/>
      <c r="K621" s="53"/>
      <c r="L621" s="53"/>
      <c r="M621" s="53"/>
      <c r="N621" s="53"/>
      <c r="O621" s="53"/>
      <c r="P621" s="53"/>
      <c r="Q621" s="53"/>
      <c r="R621" s="53"/>
      <c r="S621" s="53"/>
      <c r="T621" s="17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</row>
    <row r="622" spans="1:40" ht="60" customHeight="1" x14ac:dyDescent="0.35">
      <c r="A622" s="13"/>
      <c r="B622" s="10"/>
      <c r="C622" s="10"/>
      <c r="D622" s="10"/>
      <c r="E622" s="52"/>
      <c r="F622" s="52"/>
      <c r="G622" s="52"/>
      <c r="H622" s="52"/>
      <c r="I622" s="52"/>
      <c r="J622" s="52"/>
      <c r="K622" s="52"/>
      <c r="L622" s="52"/>
      <c r="M622" s="52"/>
      <c r="N622" s="52"/>
      <c r="O622" s="52"/>
      <c r="P622" s="52"/>
      <c r="Q622" s="52"/>
      <c r="R622" s="52"/>
      <c r="S622" s="52"/>
      <c r="T622" s="17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</row>
    <row r="623" spans="1:40" ht="60" customHeight="1" x14ac:dyDescent="0.35">
      <c r="A623" s="14"/>
      <c r="B623" s="11"/>
      <c r="C623" s="11"/>
      <c r="D623" s="11"/>
      <c r="E623" s="53"/>
      <c r="F623" s="53"/>
      <c r="G623" s="53"/>
      <c r="H623" s="53"/>
      <c r="I623" s="53"/>
      <c r="J623" s="53"/>
      <c r="K623" s="53"/>
      <c r="L623" s="53"/>
      <c r="M623" s="53"/>
      <c r="N623" s="53"/>
      <c r="O623" s="53"/>
      <c r="P623" s="53"/>
      <c r="Q623" s="53"/>
      <c r="R623" s="53"/>
      <c r="S623" s="53"/>
      <c r="T623" s="17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</row>
    <row r="624" spans="1:40" ht="60" customHeight="1" x14ac:dyDescent="0.35">
      <c r="A624" s="13"/>
      <c r="B624" s="10"/>
      <c r="C624" s="10"/>
      <c r="D624" s="10"/>
      <c r="E624" s="52"/>
      <c r="F624" s="52"/>
      <c r="G624" s="52"/>
      <c r="H624" s="52"/>
      <c r="I624" s="52"/>
      <c r="J624" s="52"/>
      <c r="K624" s="52"/>
      <c r="L624" s="52"/>
      <c r="M624" s="52"/>
      <c r="N624" s="52"/>
      <c r="O624" s="52"/>
      <c r="P624" s="52"/>
      <c r="Q624" s="52"/>
      <c r="R624" s="52"/>
      <c r="S624" s="52"/>
      <c r="T624" s="17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</row>
    <row r="625" spans="1:40" ht="60" customHeight="1" x14ac:dyDescent="0.35">
      <c r="A625" s="14"/>
      <c r="B625" s="11"/>
      <c r="C625" s="11"/>
      <c r="D625" s="11"/>
      <c r="E625" s="53"/>
      <c r="F625" s="53"/>
      <c r="G625" s="53"/>
      <c r="H625" s="53"/>
      <c r="I625" s="53"/>
      <c r="J625" s="53"/>
      <c r="K625" s="53"/>
      <c r="L625" s="53"/>
      <c r="M625" s="53"/>
      <c r="N625" s="53"/>
      <c r="O625" s="53"/>
      <c r="P625" s="53"/>
      <c r="Q625" s="53"/>
      <c r="R625" s="53"/>
      <c r="S625" s="53"/>
      <c r="T625" s="17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</row>
    <row r="626" spans="1:40" ht="60" customHeight="1" x14ac:dyDescent="0.35">
      <c r="A626" s="13"/>
      <c r="B626" s="10"/>
      <c r="C626" s="10"/>
      <c r="D626" s="10"/>
      <c r="E626" s="52"/>
      <c r="F626" s="52"/>
      <c r="G626" s="52"/>
      <c r="H626" s="52"/>
      <c r="I626" s="52"/>
      <c r="J626" s="52"/>
      <c r="K626" s="52"/>
      <c r="L626" s="52"/>
      <c r="M626" s="52"/>
      <c r="N626" s="52"/>
      <c r="O626" s="52"/>
      <c r="P626" s="52"/>
      <c r="Q626" s="52"/>
      <c r="R626" s="52"/>
      <c r="S626" s="52"/>
      <c r="T626" s="17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</row>
    <row r="627" spans="1:40" ht="60" customHeight="1" x14ac:dyDescent="0.35">
      <c r="A627" s="14"/>
      <c r="B627" s="11"/>
      <c r="C627" s="11"/>
      <c r="D627" s="11"/>
      <c r="E627" s="53"/>
      <c r="F627" s="53"/>
      <c r="G627" s="53"/>
      <c r="H627" s="53"/>
      <c r="I627" s="53"/>
      <c r="J627" s="53"/>
      <c r="K627" s="53"/>
      <c r="L627" s="53"/>
      <c r="M627" s="53"/>
      <c r="N627" s="53"/>
      <c r="O627" s="53"/>
      <c r="P627" s="53"/>
      <c r="Q627" s="53"/>
      <c r="R627" s="53"/>
      <c r="S627" s="53"/>
      <c r="T627" s="17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</row>
    <row r="628" spans="1:40" ht="60" customHeight="1" x14ac:dyDescent="0.35">
      <c r="A628" s="13"/>
      <c r="B628" s="10"/>
      <c r="C628" s="10"/>
      <c r="D628" s="10"/>
      <c r="E628" s="52"/>
      <c r="F628" s="52"/>
      <c r="G628" s="52"/>
      <c r="H628" s="52"/>
      <c r="I628" s="52"/>
      <c r="J628" s="52"/>
      <c r="K628" s="52"/>
      <c r="L628" s="52"/>
      <c r="M628" s="52"/>
      <c r="N628" s="52"/>
      <c r="O628" s="52"/>
      <c r="P628" s="52"/>
      <c r="Q628" s="52"/>
      <c r="R628" s="52"/>
      <c r="S628" s="52"/>
      <c r="T628" s="17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</row>
    <row r="629" spans="1:40" ht="60" customHeight="1" x14ac:dyDescent="0.35">
      <c r="A629" s="14"/>
      <c r="B629" s="1"/>
      <c r="C629" s="1"/>
      <c r="D629" s="1"/>
      <c r="E629" s="50"/>
      <c r="F629" s="50"/>
      <c r="G629" s="50"/>
      <c r="H629" s="50"/>
      <c r="I629" s="50"/>
      <c r="J629" s="50"/>
      <c r="K629" s="50"/>
      <c r="L629" s="50"/>
      <c r="M629" s="50"/>
      <c r="N629" s="50"/>
      <c r="O629" s="50"/>
      <c r="P629" s="50"/>
      <c r="Q629" s="50"/>
      <c r="R629" s="50"/>
      <c r="S629" s="53"/>
      <c r="T629" s="17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</row>
    <row r="630" spans="1:40" ht="60" customHeight="1" x14ac:dyDescent="0.35">
      <c r="A630" s="13"/>
      <c r="B630" s="10"/>
      <c r="C630" s="10"/>
      <c r="D630" s="10"/>
      <c r="E630" s="52"/>
      <c r="F630" s="52"/>
      <c r="G630" s="52"/>
      <c r="H630" s="52"/>
      <c r="I630" s="52"/>
      <c r="J630" s="52"/>
      <c r="K630" s="52"/>
      <c r="L630" s="52"/>
      <c r="M630" s="52"/>
      <c r="N630" s="52"/>
      <c r="O630" s="52"/>
      <c r="P630" s="52"/>
      <c r="Q630" s="52"/>
      <c r="R630" s="52"/>
      <c r="S630" s="52"/>
      <c r="T630" s="17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</row>
    <row r="631" spans="1:40" ht="60" customHeight="1" x14ac:dyDescent="0.35">
      <c r="A631" s="14"/>
      <c r="B631" s="11"/>
      <c r="C631" s="11"/>
      <c r="D631" s="11"/>
      <c r="E631" s="53"/>
      <c r="F631" s="53"/>
      <c r="G631" s="53"/>
      <c r="H631" s="53"/>
      <c r="I631" s="53"/>
      <c r="J631" s="53"/>
      <c r="K631" s="53"/>
      <c r="L631" s="53"/>
      <c r="M631" s="53"/>
      <c r="N631" s="53"/>
      <c r="O631" s="53"/>
      <c r="P631" s="53"/>
      <c r="Q631" s="53"/>
      <c r="R631" s="53"/>
      <c r="S631" s="53"/>
      <c r="T631" s="17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</row>
    <row r="632" spans="1:40" ht="60" customHeight="1" x14ac:dyDescent="0.35">
      <c r="A632" s="13"/>
      <c r="B632" s="10"/>
      <c r="C632" s="10"/>
      <c r="D632" s="10"/>
      <c r="E632" s="52"/>
      <c r="F632" s="52"/>
      <c r="G632" s="52"/>
      <c r="H632" s="52"/>
      <c r="I632" s="52"/>
      <c r="J632" s="52"/>
      <c r="K632" s="52"/>
      <c r="L632" s="52"/>
      <c r="M632" s="52"/>
      <c r="N632" s="52"/>
      <c r="O632" s="52"/>
      <c r="P632" s="52"/>
      <c r="Q632" s="52"/>
      <c r="R632" s="52"/>
      <c r="S632" s="52"/>
      <c r="T632" s="17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</row>
    <row r="633" spans="1:40" ht="60" customHeight="1" x14ac:dyDescent="0.35">
      <c r="A633" s="14"/>
      <c r="B633" s="11"/>
      <c r="C633" s="11"/>
      <c r="D633" s="11"/>
      <c r="E633" s="53"/>
      <c r="F633" s="53"/>
      <c r="G633" s="53"/>
      <c r="H633" s="53"/>
      <c r="I633" s="53"/>
      <c r="J633" s="53"/>
      <c r="K633" s="53"/>
      <c r="L633" s="53"/>
      <c r="M633" s="53"/>
      <c r="N633" s="53"/>
      <c r="O633" s="53"/>
      <c r="P633" s="53"/>
      <c r="Q633" s="53"/>
      <c r="R633" s="53"/>
      <c r="S633" s="53"/>
      <c r="T633" s="17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</row>
    <row r="634" spans="1:40" ht="60" customHeight="1" x14ac:dyDescent="0.35">
      <c r="A634" s="13"/>
      <c r="B634" s="10"/>
      <c r="C634" s="10"/>
      <c r="D634" s="10"/>
      <c r="E634" s="52"/>
      <c r="F634" s="52"/>
      <c r="G634" s="52"/>
      <c r="H634" s="52"/>
      <c r="I634" s="52"/>
      <c r="J634" s="52"/>
      <c r="K634" s="52"/>
      <c r="L634" s="52"/>
      <c r="M634" s="52"/>
      <c r="N634" s="52"/>
      <c r="O634" s="52"/>
      <c r="P634" s="52"/>
      <c r="Q634" s="52"/>
      <c r="R634" s="52"/>
      <c r="S634" s="52"/>
      <c r="T634" s="17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</row>
    <row r="635" spans="1:40" ht="60" customHeight="1" x14ac:dyDescent="0.35">
      <c r="A635" s="14"/>
      <c r="B635" s="1"/>
      <c r="C635" s="1"/>
      <c r="D635" s="1"/>
      <c r="E635" s="50"/>
      <c r="F635" s="50"/>
      <c r="G635" s="50"/>
      <c r="H635" s="50"/>
      <c r="I635" s="50"/>
      <c r="J635" s="50"/>
      <c r="K635" s="50"/>
      <c r="L635" s="50"/>
      <c r="M635" s="50"/>
      <c r="N635" s="50"/>
      <c r="O635" s="50"/>
      <c r="P635" s="50"/>
      <c r="Q635" s="50"/>
      <c r="R635" s="50"/>
      <c r="S635" s="50"/>
      <c r="T635" s="17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</row>
    <row r="636" spans="1:40" ht="60" customHeight="1" x14ac:dyDescent="0.35">
      <c r="A636" s="13"/>
      <c r="B636" s="10"/>
      <c r="C636" s="10"/>
      <c r="D636" s="10"/>
      <c r="E636" s="52"/>
      <c r="F636" s="52"/>
      <c r="G636" s="52"/>
      <c r="H636" s="52"/>
      <c r="I636" s="52"/>
      <c r="J636" s="52"/>
      <c r="K636" s="52"/>
      <c r="L636" s="52"/>
      <c r="M636" s="52"/>
      <c r="N636" s="52"/>
      <c r="O636" s="52"/>
      <c r="P636" s="52"/>
      <c r="Q636" s="52"/>
      <c r="R636" s="52"/>
      <c r="S636" s="52"/>
      <c r="T636" s="17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</row>
    <row r="637" spans="1:40" ht="60" customHeight="1" x14ac:dyDescent="0.35">
      <c r="A637" s="14"/>
      <c r="B637" s="1"/>
      <c r="C637" s="1"/>
      <c r="D637" s="1"/>
      <c r="E637" s="50"/>
      <c r="F637" s="50"/>
      <c r="G637" s="50"/>
      <c r="H637" s="50"/>
      <c r="I637" s="50"/>
      <c r="J637" s="50"/>
      <c r="K637" s="50"/>
      <c r="L637" s="50"/>
      <c r="M637" s="50"/>
      <c r="N637" s="50"/>
      <c r="O637" s="50"/>
      <c r="P637" s="50"/>
      <c r="Q637" s="50"/>
      <c r="R637" s="50"/>
      <c r="S637" s="50"/>
      <c r="T637" s="17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</row>
    <row r="638" spans="1:40" ht="60" customHeight="1" x14ac:dyDescent="0.35">
      <c r="A638" s="13"/>
      <c r="B638" s="10"/>
      <c r="C638" s="10"/>
      <c r="D638" s="10"/>
      <c r="E638" s="52"/>
      <c r="F638" s="52"/>
      <c r="G638" s="52"/>
      <c r="H638" s="52"/>
      <c r="I638" s="52"/>
      <c r="J638" s="52"/>
      <c r="K638" s="52"/>
      <c r="L638" s="52"/>
      <c r="M638" s="52"/>
      <c r="N638" s="52"/>
      <c r="O638" s="52"/>
      <c r="P638" s="52"/>
      <c r="Q638" s="52"/>
      <c r="R638" s="52"/>
      <c r="S638" s="52"/>
      <c r="T638" s="17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</row>
    <row r="639" spans="1:40" ht="60" customHeight="1" x14ac:dyDescent="0.35">
      <c r="A639" s="14"/>
      <c r="B639" s="11"/>
      <c r="C639" s="11"/>
      <c r="D639" s="11"/>
      <c r="E639" s="53"/>
      <c r="F639" s="53"/>
      <c r="G639" s="53"/>
      <c r="H639" s="53"/>
      <c r="I639" s="53"/>
      <c r="J639" s="53"/>
      <c r="K639" s="53"/>
      <c r="L639" s="53"/>
      <c r="M639" s="53"/>
      <c r="N639" s="53"/>
      <c r="O639" s="53"/>
      <c r="P639" s="53"/>
      <c r="Q639" s="53"/>
      <c r="R639" s="53"/>
      <c r="S639" s="53"/>
      <c r="T639" s="17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</row>
    <row r="640" spans="1:40" ht="60" customHeight="1" x14ac:dyDescent="0.35">
      <c r="A640" s="13"/>
      <c r="B640" s="10"/>
      <c r="C640" s="10"/>
      <c r="D640" s="10"/>
      <c r="E640" s="52"/>
      <c r="F640" s="52"/>
      <c r="G640" s="52"/>
      <c r="H640" s="52"/>
      <c r="I640" s="52"/>
      <c r="J640" s="52"/>
      <c r="K640" s="52"/>
      <c r="L640" s="52"/>
      <c r="M640" s="52"/>
      <c r="N640" s="52"/>
      <c r="O640" s="52"/>
      <c r="P640" s="52"/>
      <c r="Q640" s="52"/>
      <c r="R640" s="52"/>
      <c r="S640" s="52"/>
      <c r="T640" s="17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</row>
    <row r="641" spans="1:40" ht="60" customHeight="1" x14ac:dyDescent="0.35">
      <c r="A641" s="14"/>
      <c r="B641" s="11"/>
      <c r="C641" s="11"/>
      <c r="D641" s="11"/>
      <c r="E641" s="53"/>
      <c r="F641" s="53"/>
      <c r="G641" s="53"/>
      <c r="H641" s="53"/>
      <c r="I641" s="53"/>
      <c r="J641" s="53"/>
      <c r="K641" s="53"/>
      <c r="L641" s="53"/>
      <c r="M641" s="53"/>
      <c r="N641" s="53"/>
      <c r="O641" s="53"/>
      <c r="P641" s="53"/>
      <c r="Q641" s="53"/>
      <c r="R641" s="53"/>
      <c r="S641" s="53"/>
      <c r="T641" s="17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</row>
    <row r="642" spans="1:40" ht="60" customHeight="1" x14ac:dyDescent="0.35">
      <c r="A642" s="13"/>
      <c r="B642" s="10"/>
      <c r="C642" s="10"/>
      <c r="D642" s="10"/>
      <c r="E642" s="52"/>
      <c r="F642" s="52"/>
      <c r="G642" s="52"/>
      <c r="H642" s="52"/>
      <c r="I642" s="52"/>
      <c r="J642" s="52"/>
      <c r="K642" s="52"/>
      <c r="L642" s="52"/>
      <c r="M642" s="52"/>
      <c r="N642" s="52"/>
      <c r="O642" s="52"/>
      <c r="P642" s="52"/>
      <c r="Q642" s="52"/>
      <c r="R642" s="52"/>
      <c r="S642" s="52"/>
      <c r="T642" s="17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</row>
    <row r="643" spans="1:40" ht="60" customHeight="1" x14ac:dyDescent="0.35">
      <c r="A643" s="14"/>
      <c r="B643" s="1"/>
      <c r="C643" s="1"/>
      <c r="D643" s="1"/>
      <c r="E643" s="50"/>
      <c r="F643" s="50"/>
      <c r="G643" s="50"/>
      <c r="H643" s="50"/>
      <c r="I643" s="50"/>
      <c r="J643" s="50"/>
      <c r="K643" s="50"/>
      <c r="L643" s="50"/>
      <c r="M643" s="50"/>
      <c r="N643" s="50"/>
      <c r="O643" s="50"/>
      <c r="P643" s="50"/>
      <c r="Q643" s="50"/>
      <c r="R643" s="50"/>
      <c r="S643" s="50"/>
      <c r="T643" s="17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</row>
    <row r="644" spans="1:40" ht="60" customHeight="1" x14ac:dyDescent="0.35">
      <c r="A644" s="13"/>
      <c r="B644" s="10"/>
      <c r="C644" s="10"/>
      <c r="D644" s="10"/>
      <c r="E644" s="52"/>
      <c r="F644" s="52"/>
      <c r="G644" s="52"/>
      <c r="H644" s="52"/>
      <c r="I644" s="52"/>
      <c r="J644" s="52"/>
      <c r="K644" s="52"/>
      <c r="L644" s="52"/>
      <c r="M644" s="52"/>
      <c r="N644" s="52"/>
      <c r="O644" s="52"/>
      <c r="P644" s="52"/>
      <c r="Q644" s="52"/>
      <c r="R644" s="52"/>
      <c r="S644" s="52"/>
      <c r="T644" s="17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</row>
    <row r="645" spans="1:40" ht="60" customHeight="1" x14ac:dyDescent="0.35">
      <c r="A645" s="14"/>
      <c r="B645" s="1"/>
      <c r="C645" s="1"/>
      <c r="D645" s="1"/>
      <c r="E645" s="50"/>
      <c r="F645" s="50"/>
      <c r="G645" s="50"/>
      <c r="H645" s="50"/>
      <c r="I645" s="50"/>
      <c r="J645" s="50"/>
      <c r="K645" s="50"/>
      <c r="L645" s="50"/>
      <c r="M645" s="50"/>
      <c r="N645" s="50"/>
      <c r="O645" s="50"/>
      <c r="P645" s="50"/>
      <c r="Q645" s="50"/>
      <c r="R645" s="50"/>
      <c r="S645" s="50"/>
      <c r="T645" s="17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</row>
    <row r="646" spans="1:40" ht="60" customHeight="1" x14ac:dyDescent="0.35">
      <c r="A646" s="13"/>
      <c r="B646" s="10"/>
      <c r="C646" s="10"/>
      <c r="D646" s="10"/>
      <c r="E646" s="52"/>
      <c r="F646" s="52"/>
      <c r="G646" s="52"/>
      <c r="H646" s="52"/>
      <c r="I646" s="52"/>
      <c r="J646" s="52"/>
      <c r="K646" s="52"/>
      <c r="L646" s="52"/>
      <c r="M646" s="52"/>
      <c r="N646" s="52"/>
      <c r="O646" s="52"/>
      <c r="P646" s="52"/>
      <c r="Q646" s="52"/>
      <c r="R646" s="52"/>
      <c r="S646" s="52"/>
      <c r="T646" s="17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</row>
    <row r="647" spans="1:40" ht="60" customHeight="1" x14ac:dyDescent="0.35">
      <c r="A647" s="14"/>
      <c r="B647" s="1"/>
      <c r="C647" s="1"/>
      <c r="D647" s="1"/>
      <c r="E647" s="50"/>
      <c r="F647" s="50"/>
      <c r="G647" s="50"/>
      <c r="H647" s="50"/>
      <c r="I647" s="50"/>
      <c r="J647" s="50"/>
      <c r="K647" s="50"/>
      <c r="L647" s="50"/>
      <c r="M647" s="50"/>
      <c r="N647" s="50"/>
      <c r="O647" s="50"/>
      <c r="P647" s="50"/>
      <c r="Q647" s="50"/>
      <c r="R647" s="50"/>
      <c r="S647" s="50"/>
      <c r="T647" s="17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</row>
    <row r="648" spans="1:40" ht="60" customHeight="1" x14ac:dyDescent="0.35">
      <c r="A648" s="13"/>
      <c r="B648" s="10"/>
      <c r="C648" s="10"/>
      <c r="D648" s="10"/>
      <c r="E648" s="52"/>
      <c r="F648" s="52"/>
      <c r="G648" s="52"/>
      <c r="H648" s="52"/>
      <c r="I648" s="52"/>
      <c r="J648" s="52"/>
      <c r="K648" s="52"/>
      <c r="L648" s="52"/>
      <c r="M648" s="52"/>
      <c r="N648" s="52"/>
      <c r="O648" s="52"/>
      <c r="P648" s="52"/>
      <c r="Q648" s="52"/>
      <c r="R648" s="52"/>
      <c r="S648" s="52"/>
      <c r="T648" s="17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</row>
    <row r="649" spans="1:40" ht="60" customHeight="1" x14ac:dyDescent="0.35">
      <c r="A649" s="14"/>
      <c r="B649" s="1"/>
      <c r="C649" s="1"/>
      <c r="D649" s="1"/>
      <c r="E649" s="50"/>
      <c r="F649" s="50"/>
      <c r="G649" s="50"/>
      <c r="H649" s="50"/>
      <c r="I649" s="50"/>
      <c r="J649" s="50"/>
      <c r="K649" s="50"/>
      <c r="L649" s="50"/>
      <c r="M649" s="50"/>
      <c r="N649" s="50"/>
      <c r="O649" s="50"/>
      <c r="P649" s="50"/>
      <c r="Q649" s="50"/>
      <c r="R649" s="50"/>
      <c r="S649" s="50"/>
      <c r="T649" s="17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</row>
    <row r="650" spans="1:40" ht="60" customHeight="1" x14ac:dyDescent="0.35">
      <c r="A650" s="13"/>
      <c r="B650" s="10"/>
      <c r="C650" s="10"/>
      <c r="D650" s="10"/>
      <c r="E650" s="52"/>
      <c r="F650" s="52"/>
      <c r="G650" s="52"/>
      <c r="H650" s="52"/>
      <c r="I650" s="52"/>
      <c r="J650" s="52"/>
      <c r="K650" s="52"/>
      <c r="L650" s="52"/>
      <c r="M650" s="52"/>
      <c r="N650" s="52"/>
      <c r="O650" s="52"/>
      <c r="P650" s="52"/>
      <c r="Q650" s="52"/>
      <c r="R650" s="52"/>
      <c r="S650" s="52"/>
      <c r="T650" s="17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</row>
    <row r="651" spans="1:40" ht="60" customHeight="1" x14ac:dyDescent="0.35">
      <c r="A651" s="14"/>
      <c r="B651" s="1"/>
      <c r="C651" s="1"/>
      <c r="D651" s="1"/>
      <c r="E651" s="50"/>
      <c r="F651" s="50"/>
      <c r="G651" s="50"/>
      <c r="H651" s="50"/>
      <c r="I651" s="50"/>
      <c r="J651" s="50"/>
      <c r="K651" s="50"/>
      <c r="L651" s="50"/>
      <c r="M651" s="50"/>
      <c r="N651" s="50"/>
      <c r="O651" s="50"/>
      <c r="P651" s="50"/>
      <c r="Q651" s="50"/>
      <c r="R651" s="50"/>
      <c r="S651" s="50"/>
      <c r="T651" s="17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</row>
    <row r="652" spans="1:40" ht="60" customHeight="1" x14ac:dyDescent="0.35">
      <c r="A652" s="13"/>
      <c r="B652" s="10"/>
      <c r="C652" s="10"/>
      <c r="D652" s="10"/>
      <c r="E652" s="52"/>
      <c r="F652" s="52"/>
      <c r="G652" s="52"/>
      <c r="H652" s="52"/>
      <c r="I652" s="52"/>
      <c r="J652" s="52"/>
      <c r="K652" s="52"/>
      <c r="L652" s="52"/>
      <c r="M652" s="52"/>
      <c r="N652" s="52"/>
      <c r="O652" s="52"/>
      <c r="P652" s="52"/>
      <c r="Q652" s="52"/>
      <c r="R652" s="52"/>
      <c r="S652" s="52"/>
      <c r="T652" s="17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</row>
    <row r="653" spans="1:40" ht="60" customHeight="1" x14ac:dyDescent="0.35">
      <c r="A653" s="14"/>
      <c r="B653" s="11"/>
      <c r="C653" s="11"/>
      <c r="D653" s="11"/>
      <c r="E653" s="53"/>
      <c r="F653" s="53"/>
      <c r="G653" s="53"/>
      <c r="H653" s="53"/>
      <c r="I653" s="53"/>
      <c r="J653" s="53"/>
      <c r="K653" s="53"/>
      <c r="L653" s="53"/>
      <c r="M653" s="53"/>
      <c r="N653" s="53"/>
      <c r="O653" s="53"/>
      <c r="P653" s="53"/>
      <c r="Q653" s="53"/>
      <c r="R653" s="53"/>
      <c r="S653" s="53"/>
      <c r="T653" s="17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</row>
    <row r="654" spans="1:40" ht="60" customHeight="1" x14ac:dyDescent="0.35">
      <c r="A654" s="13"/>
      <c r="B654" s="10"/>
      <c r="C654" s="10"/>
      <c r="D654" s="10"/>
      <c r="E654" s="52"/>
      <c r="F654" s="52"/>
      <c r="G654" s="52"/>
      <c r="H654" s="52"/>
      <c r="I654" s="52"/>
      <c r="J654" s="52"/>
      <c r="K654" s="52"/>
      <c r="L654" s="52"/>
      <c r="M654" s="52"/>
      <c r="N654" s="52"/>
      <c r="O654" s="52"/>
      <c r="P654" s="52"/>
      <c r="Q654" s="52"/>
      <c r="R654" s="52"/>
      <c r="S654" s="52"/>
      <c r="T654" s="17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</row>
    <row r="655" spans="1:40" ht="60" customHeight="1" x14ac:dyDescent="0.35">
      <c r="A655" s="14"/>
      <c r="B655" s="1"/>
      <c r="C655" s="1"/>
      <c r="D655" s="1"/>
      <c r="E655" s="50"/>
      <c r="F655" s="50"/>
      <c r="G655" s="50"/>
      <c r="H655" s="50"/>
      <c r="I655" s="50"/>
      <c r="J655" s="50"/>
      <c r="K655" s="50"/>
      <c r="L655" s="50"/>
      <c r="M655" s="50"/>
      <c r="N655" s="50"/>
      <c r="O655" s="50"/>
      <c r="P655" s="50"/>
      <c r="Q655" s="50"/>
      <c r="R655" s="50"/>
      <c r="S655" s="50"/>
      <c r="T655" s="17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</row>
    <row r="656" spans="1:40" ht="60" customHeight="1" x14ac:dyDescent="0.35">
      <c r="A656" s="13"/>
      <c r="B656" s="10"/>
      <c r="C656" s="10"/>
      <c r="D656" s="10"/>
      <c r="E656" s="52"/>
      <c r="F656" s="52"/>
      <c r="G656" s="52"/>
      <c r="H656" s="52"/>
      <c r="I656" s="52"/>
      <c r="J656" s="52"/>
      <c r="K656" s="52"/>
      <c r="L656" s="52"/>
      <c r="M656" s="52"/>
      <c r="N656" s="52"/>
      <c r="O656" s="52"/>
      <c r="P656" s="52"/>
      <c r="Q656" s="52"/>
      <c r="R656" s="52"/>
      <c r="S656" s="52"/>
      <c r="T656" s="17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</row>
    <row r="657" spans="1:40" ht="60" customHeight="1" x14ac:dyDescent="0.35">
      <c r="A657" s="14"/>
      <c r="B657" s="11"/>
      <c r="C657" s="11"/>
      <c r="D657" s="11"/>
      <c r="E657" s="53"/>
      <c r="F657" s="53"/>
      <c r="G657" s="53"/>
      <c r="H657" s="53"/>
      <c r="I657" s="53"/>
      <c r="J657" s="53"/>
      <c r="K657" s="53"/>
      <c r="L657" s="53"/>
      <c r="M657" s="53"/>
      <c r="N657" s="53"/>
      <c r="O657" s="53"/>
      <c r="P657" s="53"/>
      <c r="Q657" s="53"/>
      <c r="R657" s="53"/>
      <c r="S657" s="53"/>
      <c r="T657" s="17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</row>
    <row r="658" spans="1:40" ht="60" customHeight="1" x14ac:dyDescent="0.35">
      <c r="A658" s="13"/>
      <c r="B658" s="10"/>
      <c r="C658" s="10"/>
      <c r="D658" s="10"/>
      <c r="E658" s="52"/>
      <c r="F658" s="52"/>
      <c r="G658" s="52"/>
      <c r="H658" s="52"/>
      <c r="I658" s="52"/>
      <c r="J658" s="52"/>
      <c r="K658" s="52"/>
      <c r="L658" s="52"/>
      <c r="M658" s="52"/>
      <c r="N658" s="52"/>
      <c r="O658" s="52"/>
      <c r="P658" s="52"/>
      <c r="Q658" s="52"/>
      <c r="R658" s="52"/>
      <c r="S658" s="52"/>
      <c r="T658" s="17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</row>
    <row r="659" spans="1:40" ht="60" customHeight="1" x14ac:dyDescent="0.35">
      <c r="A659" s="14"/>
      <c r="B659" s="1"/>
      <c r="C659" s="1"/>
      <c r="D659" s="1"/>
      <c r="E659" s="50"/>
      <c r="F659" s="50"/>
      <c r="G659" s="50"/>
      <c r="H659" s="50"/>
      <c r="I659" s="50"/>
      <c r="J659" s="50"/>
      <c r="K659" s="50"/>
      <c r="L659" s="50"/>
      <c r="M659" s="50"/>
      <c r="N659" s="50"/>
      <c r="O659" s="50"/>
      <c r="P659" s="50"/>
      <c r="Q659" s="50"/>
      <c r="R659" s="50"/>
      <c r="S659" s="50"/>
      <c r="T659" s="17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</row>
    <row r="660" spans="1:40" ht="60" customHeight="1" x14ac:dyDescent="0.35">
      <c r="A660" s="13"/>
      <c r="B660" s="10"/>
      <c r="C660" s="10"/>
      <c r="D660" s="10"/>
      <c r="E660" s="52"/>
      <c r="F660" s="52"/>
      <c r="G660" s="52"/>
      <c r="H660" s="52"/>
      <c r="I660" s="52"/>
      <c r="J660" s="52"/>
      <c r="K660" s="52"/>
      <c r="L660" s="52"/>
      <c r="M660" s="52"/>
      <c r="N660" s="52"/>
      <c r="O660" s="52"/>
      <c r="P660" s="52"/>
      <c r="Q660" s="52"/>
      <c r="R660" s="52"/>
      <c r="S660" s="52"/>
      <c r="T660" s="17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</row>
    <row r="661" spans="1:40" ht="60" customHeight="1" x14ac:dyDescent="0.35">
      <c r="A661" s="14"/>
      <c r="B661" s="11"/>
      <c r="C661" s="11"/>
      <c r="D661" s="11"/>
      <c r="E661" s="53"/>
      <c r="F661" s="53"/>
      <c r="G661" s="53"/>
      <c r="H661" s="53"/>
      <c r="I661" s="53"/>
      <c r="J661" s="53"/>
      <c r="K661" s="53"/>
      <c r="L661" s="53"/>
      <c r="M661" s="53"/>
      <c r="N661" s="53"/>
      <c r="O661" s="53"/>
      <c r="P661" s="53"/>
      <c r="Q661" s="53"/>
      <c r="R661" s="53"/>
      <c r="S661" s="53"/>
      <c r="T661" s="17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</row>
    <row r="662" spans="1:40" ht="60" customHeight="1" x14ac:dyDescent="0.35">
      <c r="A662" s="13"/>
      <c r="B662" s="10"/>
      <c r="C662" s="10"/>
      <c r="D662" s="10"/>
      <c r="E662" s="52"/>
      <c r="F662" s="52"/>
      <c r="G662" s="52"/>
      <c r="H662" s="52"/>
      <c r="I662" s="52"/>
      <c r="J662" s="52"/>
      <c r="K662" s="52"/>
      <c r="L662" s="52"/>
      <c r="M662" s="52"/>
      <c r="N662" s="52"/>
      <c r="O662" s="52"/>
      <c r="P662" s="52"/>
      <c r="Q662" s="52"/>
      <c r="R662" s="52"/>
      <c r="S662" s="52"/>
      <c r="T662" s="17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</row>
    <row r="663" spans="1:40" ht="60" customHeight="1" x14ac:dyDescent="0.35">
      <c r="A663" s="14"/>
      <c r="B663" s="1"/>
      <c r="C663" s="1"/>
      <c r="D663" s="1"/>
      <c r="E663" s="50"/>
      <c r="F663" s="50"/>
      <c r="G663" s="50"/>
      <c r="H663" s="50"/>
      <c r="I663" s="50"/>
      <c r="J663" s="50"/>
      <c r="K663" s="50"/>
      <c r="L663" s="50"/>
      <c r="M663" s="50"/>
      <c r="N663" s="50"/>
      <c r="O663" s="50"/>
      <c r="P663" s="50"/>
      <c r="Q663" s="50"/>
      <c r="R663" s="50"/>
      <c r="S663" s="50"/>
      <c r="T663" s="17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</row>
    <row r="664" spans="1:40" ht="60" customHeight="1" x14ac:dyDescent="0.35">
      <c r="A664" s="13"/>
      <c r="B664" s="10"/>
      <c r="C664" s="10"/>
      <c r="D664" s="10"/>
      <c r="E664" s="52"/>
      <c r="F664" s="52"/>
      <c r="G664" s="52"/>
      <c r="H664" s="52"/>
      <c r="I664" s="52"/>
      <c r="J664" s="52"/>
      <c r="K664" s="52"/>
      <c r="L664" s="52"/>
      <c r="M664" s="52"/>
      <c r="N664" s="52"/>
      <c r="O664" s="52"/>
      <c r="P664" s="52"/>
      <c r="Q664" s="52"/>
      <c r="R664" s="52"/>
      <c r="S664" s="52"/>
      <c r="T664" s="17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</row>
    <row r="665" spans="1:40" ht="60" customHeight="1" x14ac:dyDescent="0.35">
      <c r="A665" s="14"/>
      <c r="B665" s="1"/>
      <c r="C665" s="1"/>
      <c r="D665" s="1"/>
      <c r="E665" s="50"/>
      <c r="F665" s="50"/>
      <c r="G665" s="50"/>
      <c r="H665" s="50"/>
      <c r="I665" s="50"/>
      <c r="J665" s="50"/>
      <c r="K665" s="50"/>
      <c r="L665" s="50"/>
      <c r="M665" s="50"/>
      <c r="N665" s="50"/>
      <c r="O665" s="50"/>
      <c r="P665" s="50"/>
      <c r="Q665" s="50"/>
      <c r="R665" s="50"/>
      <c r="S665" s="53"/>
      <c r="T665" s="17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</row>
    <row r="666" spans="1:40" ht="60" customHeight="1" x14ac:dyDescent="0.35">
      <c r="A666" s="13"/>
      <c r="B666" s="10"/>
      <c r="C666" s="10"/>
      <c r="D666" s="10"/>
      <c r="E666" s="52"/>
      <c r="F666" s="52"/>
      <c r="G666" s="52"/>
      <c r="H666" s="52"/>
      <c r="I666" s="52"/>
      <c r="J666" s="52"/>
      <c r="K666" s="52"/>
      <c r="L666" s="52"/>
      <c r="M666" s="52"/>
      <c r="N666" s="52"/>
      <c r="O666" s="52"/>
      <c r="P666" s="52"/>
      <c r="Q666" s="52"/>
      <c r="R666" s="52"/>
      <c r="S666" s="52"/>
      <c r="T666" s="17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</row>
    <row r="667" spans="1:40" ht="60" customHeight="1" x14ac:dyDescent="0.35">
      <c r="A667" s="14"/>
      <c r="B667" s="1"/>
      <c r="C667" s="1"/>
      <c r="D667" s="1"/>
      <c r="E667" s="50"/>
      <c r="F667" s="50"/>
      <c r="G667" s="50"/>
      <c r="H667" s="50"/>
      <c r="I667" s="50"/>
      <c r="J667" s="50"/>
      <c r="K667" s="50"/>
      <c r="L667" s="50"/>
      <c r="M667" s="50"/>
      <c r="N667" s="50"/>
      <c r="O667" s="50"/>
      <c r="P667" s="50"/>
      <c r="Q667" s="50"/>
      <c r="R667" s="50"/>
      <c r="S667" s="50"/>
      <c r="T667" s="17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</row>
    <row r="668" spans="1:40" ht="60" customHeight="1" x14ac:dyDescent="0.35">
      <c r="A668" s="13"/>
      <c r="B668" s="10"/>
      <c r="C668" s="10"/>
      <c r="D668" s="10"/>
      <c r="E668" s="52"/>
      <c r="F668" s="52"/>
      <c r="G668" s="52"/>
      <c r="H668" s="52"/>
      <c r="I668" s="52"/>
      <c r="J668" s="52"/>
      <c r="K668" s="52"/>
      <c r="L668" s="52"/>
      <c r="M668" s="52"/>
      <c r="N668" s="52"/>
      <c r="O668" s="52"/>
      <c r="P668" s="52"/>
      <c r="Q668" s="52"/>
      <c r="R668" s="52"/>
      <c r="S668" s="52"/>
      <c r="T668" s="17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</row>
    <row r="669" spans="1:40" ht="60" customHeight="1" x14ac:dyDescent="0.35">
      <c r="A669" s="14"/>
      <c r="B669" s="11"/>
      <c r="C669" s="11"/>
      <c r="D669" s="11"/>
      <c r="E669" s="53"/>
      <c r="F669" s="53"/>
      <c r="G669" s="53"/>
      <c r="H669" s="53"/>
      <c r="I669" s="53"/>
      <c r="J669" s="53"/>
      <c r="K669" s="53"/>
      <c r="L669" s="53"/>
      <c r="M669" s="53"/>
      <c r="N669" s="53"/>
      <c r="O669" s="53"/>
      <c r="P669" s="53"/>
      <c r="Q669" s="53"/>
      <c r="R669" s="53"/>
      <c r="S669" s="53"/>
      <c r="T669" s="17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</row>
    <row r="670" spans="1:40" ht="60" customHeight="1" x14ac:dyDescent="0.35">
      <c r="A670" s="13"/>
      <c r="B670" s="10"/>
      <c r="C670" s="10"/>
      <c r="D670" s="10"/>
      <c r="E670" s="52"/>
      <c r="F670" s="52"/>
      <c r="G670" s="52"/>
      <c r="H670" s="52"/>
      <c r="I670" s="52"/>
      <c r="J670" s="52"/>
      <c r="K670" s="52"/>
      <c r="L670" s="52"/>
      <c r="M670" s="52"/>
      <c r="N670" s="52"/>
      <c r="O670" s="52"/>
      <c r="P670" s="52"/>
      <c r="Q670" s="52"/>
      <c r="R670" s="52"/>
      <c r="S670" s="52"/>
      <c r="T670" s="17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</row>
    <row r="671" spans="1:40" ht="60" customHeight="1" x14ac:dyDescent="0.35">
      <c r="A671" s="14"/>
      <c r="B671" s="1"/>
      <c r="C671" s="1"/>
      <c r="D671" s="1"/>
      <c r="E671" s="50"/>
      <c r="F671" s="50"/>
      <c r="G671" s="50"/>
      <c r="H671" s="50"/>
      <c r="I671" s="50"/>
      <c r="J671" s="50"/>
      <c r="K671" s="50"/>
      <c r="L671" s="50"/>
      <c r="M671" s="50"/>
      <c r="N671" s="50"/>
      <c r="O671" s="50"/>
      <c r="P671" s="50"/>
      <c r="Q671" s="50"/>
      <c r="R671" s="50"/>
      <c r="S671" s="50"/>
      <c r="T671" s="17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</row>
    <row r="672" spans="1:40" ht="60" customHeight="1" x14ac:dyDescent="0.35">
      <c r="A672" s="13"/>
      <c r="B672" s="10"/>
      <c r="C672" s="10"/>
      <c r="D672" s="10"/>
      <c r="E672" s="52"/>
      <c r="F672" s="52"/>
      <c r="G672" s="52"/>
      <c r="H672" s="52"/>
      <c r="I672" s="52"/>
      <c r="J672" s="52"/>
      <c r="K672" s="52"/>
      <c r="L672" s="52"/>
      <c r="M672" s="52"/>
      <c r="N672" s="52"/>
      <c r="O672" s="52"/>
      <c r="P672" s="52"/>
      <c r="Q672" s="52"/>
      <c r="R672" s="52"/>
      <c r="S672" s="52"/>
      <c r="T672" s="17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</row>
    <row r="673" spans="1:40" ht="60" customHeight="1" x14ac:dyDescent="0.35">
      <c r="A673" s="14"/>
      <c r="B673" s="1"/>
      <c r="C673" s="1"/>
      <c r="D673" s="1"/>
      <c r="E673" s="50"/>
      <c r="F673" s="50"/>
      <c r="G673" s="50"/>
      <c r="H673" s="50"/>
      <c r="I673" s="50"/>
      <c r="J673" s="50"/>
      <c r="K673" s="50"/>
      <c r="L673" s="50"/>
      <c r="M673" s="50"/>
      <c r="N673" s="50"/>
      <c r="O673" s="50"/>
      <c r="P673" s="50"/>
      <c r="Q673" s="50"/>
      <c r="R673" s="50"/>
      <c r="S673" s="50"/>
      <c r="T673" s="17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</row>
    <row r="674" spans="1:40" ht="60" customHeight="1" x14ac:dyDescent="0.35">
      <c r="A674" s="13"/>
      <c r="B674" s="10"/>
      <c r="C674" s="10"/>
      <c r="D674" s="10"/>
      <c r="E674" s="52"/>
      <c r="F674" s="52"/>
      <c r="G674" s="52"/>
      <c r="H674" s="52"/>
      <c r="I674" s="52"/>
      <c r="J674" s="52"/>
      <c r="K674" s="52"/>
      <c r="L674" s="52"/>
      <c r="M674" s="52"/>
      <c r="N674" s="52"/>
      <c r="O674" s="52"/>
      <c r="P674" s="52"/>
      <c r="Q674" s="52"/>
      <c r="R674" s="52"/>
      <c r="S674" s="52"/>
      <c r="T674" s="17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</row>
    <row r="675" spans="1:40" ht="60" customHeight="1" x14ac:dyDescent="0.35">
      <c r="A675" s="14"/>
      <c r="B675" s="11"/>
      <c r="C675" s="11"/>
      <c r="D675" s="11"/>
      <c r="E675" s="53"/>
      <c r="F675" s="53"/>
      <c r="G675" s="53"/>
      <c r="H675" s="53"/>
      <c r="I675" s="53"/>
      <c r="J675" s="53"/>
      <c r="K675" s="53"/>
      <c r="L675" s="53"/>
      <c r="M675" s="53"/>
      <c r="N675" s="53"/>
      <c r="O675" s="53"/>
      <c r="P675" s="53"/>
      <c r="Q675" s="53"/>
      <c r="R675" s="53"/>
      <c r="S675" s="53"/>
      <c r="T675" s="17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</row>
    <row r="676" spans="1:40" ht="60" customHeight="1" x14ac:dyDescent="0.35">
      <c r="A676" s="13"/>
      <c r="B676" s="10"/>
      <c r="C676" s="10"/>
      <c r="D676" s="10"/>
      <c r="E676" s="52"/>
      <c r="F676" s="52"/>
      <c r="G676" s="52"/>
      <c r="H676" s="52"/>
      <c r="I676" s="52"/>
      <c r="J676" s="52"/>
      <c r="K676" s="52"/>
      <c r="L676" s="52"/>
      <c r="M676" s="52"/>
      <c r="N676" s="52"/>
      <c r="O676" s="52"/>
      <c r="P676" s="52"/>
      <c r="Q676" s="52"/>
      <c r="R676" s="52"/>
      <c r="S676" s="52"/>
      <c r="T676" s="17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</row>
    <row r="677" spans="1:40" ht="60" customHeight="1" x14ac:dyDescent="0.35">
      <c r="A677" s="14"/>
      <c r="B677" s="1"/>
      <c r="C677" s="1"/>
      <c r="D677" s="1"/>
      <c r="E677" s="50"/>
      <c r="F677" s="50"/>
      <c r="G677" s="50"/>
      <c r="H677" s="50"/>
      <c r="I677" s="50"/>
      <c r="J677" s="50"/>
      <c r="K677" s="50"/>
      <c r="L677" s="50"/>
      <c r="M677" s="50"/>
      <c r="N677" s="50"/>
      <c r="O677" s="50"/>
      <c r="P677" s="50"/>
      <c r="Q677" s="50"/>
      <c r="R677" s="50"/>
      <c r="S677" s="50"/>
      <c r="T677" s="17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</row>
    <row r="678" spans="1:40" ht="60" customHeight="1" x14ac:dyDescent="0.35">
      <c r="A678" s="13"/>
      <c r="B678" s="10"/>
      <c r="C678" s="10"/>
      <c r="D678" s="10"/>
      <c r="E678" s="52"/>
      <c r="F678" s="52"/>
      <c r="G678" s="52"/>
      <c r="H678" s="52"/>
      <c r="I678" s="52"/>
      <c r="J678" s="52"/>
      <c r="K678" s="52"/>
      <c r="L678" s="52"/>
      <c r="M678" s="52"/>
      <c r="N678" s="52"/>
      <c r="O678" s="52"/>
      <c r="P678" s="52"/>
      <c r="Q678" s="52"/>
      <c r="R678" s="52"/>
      <c r="S678" s="52"/>
      <c r="T678" s="17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</row>
    <row r="679" spans="1:40" ht="60" customHeight="1" x14ac:dyDescent="0.35">
      <c r="A679" s="14"/>
      <c r="B679" s="1"/>
      <c r="C679" s="1"/>
      <c r="D679" s="1"/>
      <c r="E679" s="50"/>
      <c r="F679" s="50"/>
      <c r="G679" s="50"/>
      <c r="H679" s="50"/>
      <c r="I679" s="50"/>
      <c r="J679" s="50"/>
      <c r="K679" s="50"/>
      <c r="L679" s="50"/>
      <c r="M679" s="50"/>
      <c r="N679" s="50"/>
      <c r="O679" s="50"/>
      <c r="P679" s="50"/>
      <c r="Q679" s="50"/>
      <c r="R679" s="50"/>
      <c r="S679" s="50"/>
      <c r="T679" s="17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</row>
    <row r="680" spans="1:40" ht="60" customHeight="1" x14ac:dyDescent="0.35">
      <c r="A680" s="13"/>
      <c r="B680" s="10"/>
      <c r="C680" s="10"/>
      <c r="D680" s="10"/>
      <c r="E680" s="52"/>
      <c r="F680" s="52"/>
      <c r="G680" s="52"/>
      <c r="H680" s="52"/>
      <c r="I680" s="52"/>
      <c r="J680" s="52"/>
      <c r="K680" s="52"/>
      <c r="L680" s="52"/>
      <c r="M680" s="52"/>
      <c r="N680" s="52"/>
      <c r="O680" s="52"/>
      <c r="P680" s="52"/>
      <c r="Q680" s="52"/>
      <c r="R680" s="52"/>
      <c r="S680" s="52"/>
      <c r="T680" s="17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</row>
    <row r="681" spans="1:40" ht="60" customHeight="1" x14ac:dyDescent="0.35">
      <c r="A681" s="14"/>
      <c r="B681" s="11"/>
      <c r="C681" s="11"/>
      <c r="D681" s="11"/>
      <c r="E681" s="53"/>
      <c r="F681" s="53"/>
      <c r="G681" s="53"/>
      <c r="H681" s="53"/>
      <c r="I681" s="53"/>
      <c r="J681" s="53"/>
      <c r="K681" s="53"/>
      <c r="L681" s="53"/>
      <c r="M681" s="53"/>
      <c r="N681" s="53"/>
      <c r="O681" s="53"/>
      <c r="P681" s="53"/>
      <c r="Q681" s="53"/>
      <c r="R681" s="53"/>
      <c r="S681" s="53"/>
      <c r="T681" s="17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</row>
    <row r="682" spans="1:40" ht="60" customHeight="1" x14ac:dyDescent="0.35">
      <c r="A682" s="13"/>
      <c r="B682" s="10"/>
      <c r="C682" s="10"/>
      <c r="D682" s="10"/>
      <c r="E682" s="52"/>
      <c r="F682" s="52"/>
      <c r="G682" s="52"/>
      <c r="H682" s="52"/>
      <c r="I682" s="52"/>
      <c r="J682" s="52"/>
      <c r="K682" s="52"/>
      <c r="L682" s="52"/>
      <c r="M682" s="52"/>
      <c r="N682" s="52"/>
      <c r="O682" s="52"/>
      <c r="P682" s="52"/>
      <c r="Q682" s="52"/>
      <c r="R682" s="52"/>
      <c r="S682" s="52"/>
      <c r="T682" s="17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</row>
    <row r="683" spans="1:40" ht="60" customHeight="1" x14ac:dyDescent="0.35">
      <c r="A683" s="14"/>
      <c r="B683" s="11"/>
      <c r="C683" s="11"/>
      <c r="D683" s="11"/>
      <c r="E683" s="53"/>
      <c r="F683" s="53"/>
      <c r="G683" s="53"/>
      <c r="H683" s="53"/>
      <c r="I683" s="53"/>
      <c r="J683" s="53"/>
      <c r="K683" s="53"/>
      <c r="L683" s="53"/>
      <c r="M683" s="53"/>
      <c r="N683" s="53"/>
      <c r="O683" s="53"/>
      <c r="P683" s="53"/>
      <c r="Q683" s="53"/>
      <c r="R683" s="53"/>
      <c r="S683" s="53"/>
      <c r="T683" s="17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</row>
    <row r="684" spans="1:40" ht="60" customHeight="1" x14ac:dyDescent="0.35">
      <c r="A684" s="13"/>
      <c r="B684" s="10"/>
      <c r="C684" s="10"/>
      <c r="D684" s="10"/>
      <c r="E684" s="52"/>
      <c r="F684" s="52"/>
      <c r="G684" s="52"/>
      <c r="H684" s="52"/>
      <c r="I684" s="52"/>
      <c r="J684" s="52"/>
      <c r="K684" s="52"/>
      <c r="L684" s="52"/>
      <c r="M684" s="52"/>
      <c r="N684" s="52"/>
      <c r="O684" s="52"/>
      <c r="P684" s="52"/>
      <c r="Q684" s="52"/>
      <c r="R684" s="52"/>
      <c r="S684" s="52"/>
      <c r="T684" s="17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</row>
    <row r="685" spans="1:40" ht="60" customHeight="1" x14ac:dyDescent="0.35">
      <c r="A685" s="14"/>
      <c r="B685" s="11"/>
      <c r="C685" s="11"/>
      <c r="D685" s="11"/>
      <c r="E685" s="53"/>
      <c r="F685" s="53"/>
      <c r="G685" s="53"/>
      <c r="H685" s="53"/>
      <c r="I685" s="53"/>
      <c r="J685" s="53"/>
      <c r="K685" s="53"/>
      <c r="L685" s="53"/>
      <c r="M685" s="53"/>
      <c r="N685" s="53"/>
      <c r="O685" s="53"/>
      <c r="P685" s="53"/>
      <c r="Q685" s="53"/>
      <c r="R685" s="53"/>
      <c r="S685" s="53"/>
      <c r="T685" s="17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</row>
    <row r="686" spans="1:40" ht="60" customHeight="1" x14ac:dyDescent="0.35">
      <c r="A686" s="13"/>
      <c r="B686" s="10"/>
      <c r="C686" s="10"/>
      <c r="D686" s="10"/>
      <c r="E686" s="52"/>
      <c r="F686" s="52"/>
      <c r="G686" s="52"/>
      <c r="H686" s="52"/>
      <c r="I686" s="52"/>
      <c r="J686" s="52"/>
      <c r="K686" s="52"/>
      <c r="L686" s="52"/>
      <c r="M686" s="52"/>
      <c r="N686" s="52"/>
      <c r="O686" s="52"/>
      <c r="P686" s="52"/>
      <c r="Q686" s="52"/>
      <c r="R686" s="52"/>
      <c r="S686" s="52"/>
      <c r="T686" s="17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</row>
    <row r="687" spans="1:40" ht="60" customHeight="1" x14ac:dyDescent="0.35">
      <c r="A687" s="14"/>
      <c r="B687" s="11"/>
      <c r="C687" s="11"/>
      <c r="D687" s="11"/>
      <c r="E687" s="53"/>
      <c r="F687" s="53"/>
      <c r="G687" s="53"/>
      <c r="H687" s="53"/>
      <c r="I687" s="53"/>
      <c r="J687" s="53"/>
      <c r="K687" s="53"/>
      <c r="L687" s="53"/>
      <c r="M687" s="53"/>
      <c r="N687" s="53"/>
      <c r="O687" s="53"/>
      <c r="P687" s="53"/>
      <c r="Q687" s="53"/>
      <c r="R687" s="53"/>
      <c r="S687" s="53"/>
      <c r="T687" s="17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</row>
    <row r="688" spans="1:40" ht="60" customHeight="1" x14ac:dyDescent="0.35">
      <c r="A688" s="13"/>
      <c r="B688" s="10"/>
      <c r="C688" s="10"/>
      <c r="D688" s="10"/>
      <c r="E688" s="52"/>
      <c r="F688" s="52"/>
      <c r="G688" s="52"/>
      <c r="H688" s="52"/>
      <c r="I688" s="52"/>
      <c r="J688" s="52"/>
      <c r="K688" s="52"/>
      <c r="L688" s="52"/>
      <c r="M688" s="52"/>
      <c r="N688" s="52"/>
      <c r="O688" s="52"/>
      <c r="P688" s="52"/>
      <c r="Q688" s="52"/>
      <c r="R688" s="52"/>
      <c r="S688" s="52"/>
      <c r="T688" s="17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</row>
    <row r="689" spans="1:40" ht="60" customHeight="1" x14ac:dyDescent="0.35">
      <c r="A689" s="14"/>
      <c r="B689" s="1"/>
      <c r="C689" s="1"/>
      <c r="D689" s="1"/>
      <c r="E689" s="50"/>
      <c r="F689" s="50"/>
      <c r="G689" s="50"/>
      <c r="H689" s="50"/>
      <c r="I689" s="50"/>
      <c r="J689" s="50"/>
      <c r="K689" s="50"/>
      <c r="L689" s="50"/>
      <c r="M689" s="50"/>
      <c r="N689" s="50"/>
      <c r="O689" s="50"/>
      <c r="P689" s="50"/>
      <c r="Q689" s="50"/>
      <c r="R689" s="50"/>
      <c r="S689" s="50"/>
      <c r="T689" s="17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</row>
    <row r="690" spans="1:40" ht="60" customHeight="1" x14ac:dyDescent="0.35">
      <c r="A690" s="13"/>
      <c r="B690" s="10"/>
      <c r="C690" s="10"/>
      <c r="D690" s="10"/>
      <c r="E690" s="52"/>
      <c r="F690" s="52"/>
      <c r="G690" s="52"/>
      <c r="H690" s="52"/>
      <c r="I690" s="52"/>
      <c r="J690" s="52"/>
      <c r="K690" s="52"/>
      <c r="L690" s="52"/>
      <c r="M690" s="52"/>
      <c r="N690" s="52"/>
      <c r="O690" s="52"/>
      <c r="P690" s="52"/>
      <c r="Q690" s="52"/>
      <c r="R690" s="52"/>
      <c r="S690" s="52"/>
      <c r="T690" s="17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</row>
    <row r="691" spans="1:40" ht="60" customHeight="1" x14ac:dyDescent="0.35">
      <c r="A691" s="14"/>
      <c r="B691" s="1"/>
      <c r="C691" s="1"/>
      <c r="D691" s="1"/>
      <c r="E691" s="50"/>
      <c r="F691" s="50"/>
      <c r="G691" s="50"/>
      <c r="H691" s="50"/>
      <c r="I691" s="50"/>
      <c r="J691" s="50"/>
      <c r="K691" s="50"/>
      <c r="L691" s="50"/>
      <c r="M691" s="50"/>
      <c r="N691" s="50"/>
      <c r="O691" s="50"/>
      <c r="P691" s="50"/>
      <c r="Q691" s="50"/>
      <c r="R691" s="50"/>
      <c r="S691" s="50"/>
      <c r="T691" s="17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</row>
    <row r="692" spans="1:40" ht="60" customHeight="1" x14ac:dyDescent="0.35">
      <c r="A692" s="13"/>
      <c r="B692" s="10"/>
      <c r="C692" s="10"/>
      <c r="D692" s="10"/>
      <c r="E692" s="52"/>
      <c r="F692" s="52"/>
      <c r="G692" s="52"/>
      <c r="H692" s="52"/>
      <c r="I692" s="52"/>
      <c r="J692" s="52"/>
      <c r="K692" s="52"/>
      <c r="L692" s="52"/>
      <c r="M692" s="52"/>
      <c r="N692" s="52"/>
      <c r="O692" s="52"/>
      <c r="P692" s="52"/>
      <c r="Q692" s="52"/>
      <c r="R692" s="52"/>
      <c r="S692" s="52"/>
      <c r="T692" s="17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</row>
    <row r="693" spans="1:40" ht="60" customHeight="1" x14ac:dyDescent="0.35">
      <c r="A693" s="14"/>
      <c r="B693" s="11"/>
      <c r="C693" s="11"/>
      <c r="D693" s="11"/>
      <c r="E693" s="53"/>
      <c r="F693" s="53"/>
      <c r="G693" s="53"/>
      <c r="H693" s="53"/>
      <c r="I693" s="53"/>
      <c r="J693" s="53"/>
      <c r="K693" s="53"/>
      <c r="L693" s="53"/>
      <c r="M693" s="53"/>
      <c r="N693" s="53"/>
      <c r="O693" s="53"/>
      <c r="P693" s="53"/>
      <c r="Q693" s="53"/>
      <c r="R693" s="53"/>
      <c r="S693" s="53"/>
      <c r="T693" s="17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</row>
    <row r="694" spans="1:40" ht="60" customHeight="1" x14ac:dyDescent="0.35">
      <c r="A694" s="13"/>
      <c r="B694" s="10"/>
      <c r="C694" s="10"/>
      <c r="D694" s="10"/>
      <c r="E694" s="52"/>
      <c r="F694" s="52"/>
      <c r="G694" s="52"/>
      <c r="H694" s="52"/>
      <c r="I694" s="52"/>
      <c r="J694" s="52"/>
      <c r="K694" s="52"/>
      <c r="L694" s="52"/>
      <c r="M694" s="52"/>
      <c r="N694" s="52"/>
      <c r="O694" s="52"/>
      <c r="P694" s="52"/>
      <c r="Q694" s="52"/>
      <c r="R694" s="52"/>
      <c r="S694" s="52"/>
      <c r="T694" s="17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</row>
    <row r="695" spans="1:40" ht="60" customHeight="1" x14ac:dyDescent="0.35">
      <c r="A695" s="14"/>
      <c r="B695" s="11"/>
      <c r="C695" s="11"/>
      <c r="D695" s="11"/>
      <c r="E695" s="53"/>
      <c r="F695" s="53"/>
      <c r="G695" s="53"/>
      <c r="H695" s="53"/>
      <c r="I695" s="53"/>
      <c r="J695" s="53"/>
      <c r="K695" s="53"/>
      <c r="L695" s="53"/>
      <c r="M695" s="53"/>
      <c r="N695" s="53"/>
      <c r="O695" s="53"/>
      <c r="P695" s="53"/>
      <c r="Q695" s="53"/>
      <c r="R695" s="53"/>
      <c r="S695" s="53"/>
      <c r="T695" s="17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</row>
    <row r="696" spans="1:40" ht="60" customHeight="1" x14ac:dyDescent="0.35">
      <c r="A696" s="13"/>
      <c r="B696" s="10"/>
      <c r="C696" s="10"/>
      <c r="D696" s="10"/>
      <c r="E696" s="52"/>
      <c r="F696" s="52"/>
      <c r="G696" s="52"/>
      <c r="H696" s="52"/>
      <c r="I696" s="52"/>
      <c r="J696" s="52"/>
      <c r="K696" s="52"/>
      <c r="L696" s="52"/>
      <c r="M696" s="52"/>
      <c r="N696" s="52"/>
      <c r="O696" s="52"/>
      <c r="P696" s="52"/>
      <c r="Q696" s="52"/>
      <c r="R696" s="52"/>
      <c r="S696" s="52"/>
      <c r="T696" s="17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</row>
    <row r="697" spans="1:40" ht="60" customHeight="1" x14ac:dyDescent="0.35">
      <c r="A697" s="14"/>
      <c r="B697" s="11"/>
      <c r="C697" s="11"/>
      <c r="D697" s="11"/>
      <c r="E697" s="53"/>
      <c r="F697" s="53"/>
      <c r="G697" s="53"/>
      <c r="H697" s="53"/>
      <c r="I697" s="53"/>
      <c r="J697" s="53"/>
      <c r="K697" s="53"/>
      <c r="L697" s="53"/>
      <c r="M697" s="53"/>
      <c r="N697" s="53"/>
      <c r="O697" s="53"/>
      <c r="P697" s="53"/>
      <c r="Q697" s="53"/>
      <c r="R697" s="53"/>
      <c r="S697" s="53"/>
      <c r="T697" s="17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</row>
    <row r="698" spans="1:40" ht="60" customHeight="1" x14ac:dyDescent="0.35">
      <c r="A698" s="13"/>
      <c r="B698" s="10"/>
      <c r="C698" s="10"/>
      <c r="D698" s="10"/>
      <c r="E698" s="52"/>
      <c r="F698" s="52"/>
      <c r="G698" s="52"/>
      <c r="H698" s="52"/>
      <c r="I698" s="52"/>
      <c r="J698" s="52"/>
      <c r="K698" s="52"/>
      <c r="L698" s="52"/>
      <c r="M698" s="52"/>
      <c r="N698" s="52"/>
      <c r="O698" s="52"/>
      <c r="P698" s="52"/>
      <c r="Q698" s="52"/>
      <c r="R698" s="52"/>
      <c r="S698" s="52"/>
      <c r="T698" s="17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</row>
    <row r="699" spans="1:40" ht="60" customHeight="1" x14ac:dyDescent="0.35">
      <c r="A699" s="14"/>
      <c r="B699" s="1"/>
      <c r="C699" s="1"/>
      <c r="D699" s="1"/>
      <c r="E699" s="50"/>
      <c r="F699" s="50"/>
      <c r="G699" s="50"/>
      <c r="H699" s="50"/>
      <c r="I699" s="50"/>
      <c r="J699" s="50"/>
      <c r="K699" s="50"/>
      <c r="L699" s="50"/>
      <c r="M699" s="50"/>
      <c r="N699" s="50"/>
      <c r="O699" s="50"/>
      <c r="P699" s="50"/>
      <c r="Q699" s="50"/>
      <c r="R699" s="50"/>
      <c r="S699" s="50"/>
      <c r="T699" s="17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</row>
    <row r="700" spans="1:40" ht="60" customHeight="1" x14ac:dyDescent="0.35">
      <c r="A700" s="13"/>
      <c r="B700" s="10"/>
      <c r="C700" s="10"/>
      <c r="D700" s="10"/>
      <c r="E700" s="52"/>
      <c r="F700" s="52"/>
      <c r="G700" s="52"/>
      <c r="H700" s="52"/>
      <c r="I700" s="52"/>
      <c r="J700" s="52"/>
      <c r="K700" s="52"/>
      <c r="L700" s="52"/>
      <c r="M700" s="52"/>
      <c r="N700" s="52"/>
      <c r="O700" s="52"/>
      <c r="P700" s="52"/>
      <c r="Q700" s="52"/>
      <c r="R700" s="52"/>
      <c r="S700" s="52"/>
      <c r="T700" s="17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</row>
    <row r="701" spans="1:40" ht="60" customHeight="1" x14ac:dyDescent="0.35">
      <c r="A701" s="14"/>
      <c r="B701" s="1"/>
      <c r="C701" s="1"/>
      <c r="D701" s="1"/>
      <c r="E701" s="50"/>
      <c r="F701" s="50"/>
      <c r="G701" s="50"/>
      <c r="H701" s="50"/>
      <c r="I701" s="50"/>
      <c r="J701" s="50"/>
      <c r="K701" s="50"/>
      <c r="L701" s="50"/>
      <c r="M701" s="50"/>
      <c r="N701" s="50"/>
      <c r="O701" s="50"/>
      <c r="P701" s="50"/>
      <c r="Q701" s="50"/>
      <c r="R701" s="50"/>
      <c r="S701" s="53"/>
      <c r="T701" s="17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</row>
    <row r="702" spans="1:40" ht="60" customHeight="1" x14ac:dyDescent="0.35">
      <c r="A702" s="13"/>
      <c r="B702" s="10"/>
      <c r="C702" s="10"/>
      <c r="D702" s="10"/>
      <c r="E702" s="52"/>
      <c r="F702" s="52"/>
      <c r="G702" s="52"/>
      <c r="H702" s="52"/>
      <c r="I702" s="52"/>
      <c r="J702" s="52"/>
      <c r="K702" s="52"/>
      <c r="L702" s="52"/>
      <c r="M702" s="52"/>
      <c r="N702" s="52"/>
      <c r="O702" s="52"/>
      <c r="P702" s="52"/>
      <c r="Q702" s="52"/>
      <c r="R702" s="52"/>
      <c r="S702" s="52"/>
      <c r="T702" s="17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</row>
    <row r="703" spans="1:40" ht="60" customHeight="1" x14ac:dyDescent="0.35">
      <c r="A703" s="14"/>
      <c r="B703" s="11"/>
      <c r="C703" s="11"/>
      <c r="D703" s="11"/>
      <c r="E703" s="53"/>
      <c r="F703" s="53"/>
      <c r="G703" s="53"/>
      <c r="H703" s="53"/>
      <c r="I703" s="53"/>
      <c r="J703" s="53"/>
      <c r="K703" s="53"/>
      <c r="L703" s="53"/>
      <c r="M703" s="53"/>
      <c r="N703" s="53"/>
      <c r="O703" s="53"/>
      <c r="P703" s="53"/>
      <c r="Q703" s="53"/>
      <c r="R703" s="53"/>
      <c r="S703" s="53"/>
      <c r="T703" s="17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</row>
    <row r="704" spans="1:40" ht="60" customHeight="1" x14ac:dyDescent="0.35">
      <c r="A704" s="13"/>
      <c r="B704" s="10"/>
      <c r="C704" s="10"/>
      <c r="D704" s="10"/>
      <c r="E704" s="52"/>
      <c r="F704" s="52"/>
      <c r="G704" s="52"/>
      <c r="H704" s="52"/>
      <c r="I704" s="52"/>
      <c r="J704" s="52"/>
      <c r="K704" s="52"/>
      <c r="L704" s="52"/>
      <c r="M704" s="52"/>
      <c r="N704" s="52"/>
      <c r="O704" s="52"/>
      <c r="P704" s="52"/>
      <c r="Q704" s="52"/>
      <c r="R704" s="52"/>
      <c r="S704" s="52"/>
      <c r="T704" s="17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</row>
    <row r="705" spans="1:40" ht="60" customHeight="1" x14ac:dyDescent="0.35">
      <c r="A705" s="14"/>
      <c r="B705" s="11"/>
      <c r="C705" s="11"/>
      <c r="D705" s="11"/>
      <c r="E705" s="53"/>
      <c r="F705" s="53"/>
      <c r="G705" s="53"/>
      <c r="H705" s="53"/>
      <c r="I705" s="53"/>
      <c r="J705" s="53"/>
      <c r="K705" s="53"/>
      <c r="L705" s="53"/>
      <c r="M705" s="53"/>
      <c r="N705" s="53"/>
      <c r="O705" s="53"/>
      <c r="P705" s="53"/>
      <c r="Q705" s="53"/>
      <c r="R705" s="53"/>
      <c r="S705" s="53"/>
      <c r="T705" s="17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</row>
    <row r="706" spans="1:40" ht="60" customHeight="1" x14ac:dyDescent="0.35">
      <c r="A706" s="13"/>
      <c r="B706" s="10"/>
      <c r="C706" s="10"/>
      <c r="D706" s="10"/>
      <c r="E706" s="52"/>
      <c r="F706" s="52"/>
      <c r="G706" s="52"/>
      <c r="H706" s="52"/>
      <c r="I706" s="52"/>
      <c r="J706" s="52"/>
      <c r="K706" s="52"/>
      <c r="L706" s="52"/>
      <c r="M706" s="52"/>
      <c r="N706" s="52"/>
      <c r="O706" s="52"/>
      <c r="P706" s="52"/>
      <c r="Q706" s="52"/>
      <c r="R706" s="52"/>
      <c r="S706" s="52"/>
      <c r="T706" s="17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</row>
    <row r="707" spans="1:40" ht="60" customHeight="1" x14ac:dyDescent="0.35">
      <c r="A707" s="14"/>
      <c r="B707" s="1"/>
      <c r="C707" s="1"/>
      <c r="D707" s="1"/>
      <c r="E707" s="50"/>
      <c r="F707" s="50"/>
      <c r="G707" s="50"/>
      <c r="H707" s="50"/>
      <c r="I707" s="50"/>
      <c r="J707" s="50"/>
      <c r="K707" s="50"/>
      <c r="L707" s="50"/>
      <c r="M707" s="50"/>
      <c r="N707" s="50"/>
      <c r="O707" s="50"/>
      <c r="P707" s="50"/>
      <c r="Q707" s="50"/>
      <c r="R707" s="50"/>
      <c r="S707" s="53"/>
      <c r="T707" s="17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</row>
    <row r="708" spans="1:40" ht="60" customHeight="1" x14ac:dyDescent="0.35">
      <c r="A708" s="13"/>
      <c r="B708" s="10"/>
      <c r="C708" s="10"/>
      <c r="D708" s="10"/>
      <c r="E708" s="52"/>
      <c r="F708" s="52"/>
      <c r="G708" s="52"/>
      <c r="H708" s="52"/>
      <c r="I708" s="52"/>
      <c r="J708" s="52"/>
      <c r="K708" s="52"/>
      <c r="L708" s="52"/>
      <c r="M708" s="52"/>
      <c r="N708" s="52"/>
      <c r="O708" s="52"/>
      <c r="P708" s="52"/>
      <c r="Q708" s="52"/>
      <c r="R708" s="52"/>
      <c r="S708" s="52"/>
      <c r="T708" s="17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</row>
    <row r="709" spans="1:40" ht="60" customHeight="1" x14ac:dyDescent="0.35">
      <c r="A709" s="14"/>
      <c r="B709" s="11"/>
      <c r="C709" s="11"/>
      <c r="D709" s="11"/>
      <c r="E709" s="53"/>
      <c r="F709" s="53"/>
      <c r="G709" s="53"/>
      <c r="H709" s="53"/>
      <c r="I709" s="53"/>
      <c r="J709" s="53"/>
      <c r="K709" s="53"/>
      <c r="L709" s="53"/>
      <c r="M709" s="53"/>
      <c r="N709" s="53"/>
      <c r="O709" s="53"/>
      <c r="P709" s="53"/>
      <c r="Q709" s="53"/>
      <c r="R709" s="53"/>
      <c r="S709" s="53"/>
      <c r="T709" s="17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</row>
    <row r="710" spans="1:40" ht="60" customHeight="1" x14ac:dyDescent="0.35">
      <c r="A710" s="13"/>
      <c r="B710" s="10"/>
      <c r="C710" s="10"/>
      <c r="D710" s="10"/>
      <c r="E710" s="52"/>
      <c r="F710" s="52"/>
      <c r="G710" s="52"/>
      <c r="H710" s="52"/>
      <c r="I710" s="52"/>
      <c r="J710" s="52"/>
      <c r="K710" s="52"/>
      <c r="L710" s="52"/>
      <c r="M710" s="52"/>
      <c r="N710" s="52"/>
      <c r="O710" s="52"/>
      <c r="P710" s="52"/>
      <c r="Q710" s="52"/>
      <c r="R710" s="52"/>
      <c r="S710" s="52"/>
      <c r="T710" s="17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</row>
    <row r="711" spans="1:40" ht="60" customHeight="1" x14ac:dyDescent="0.35">
      <c r="A711" s="14"/>
      <c r="B711" s="11"/>
      <c r="C711" s="11"/>
      <c r="D711" s="11"/>
      <c r="E711" s="53"/>
      <c r="F711" s="53"/>
      <c r="G711" s="53"/>
      <c r="H711" s="53"/>
      <c r="I711" s="53"/>
      <c r="J711" s="53"/>
      <c r="K711" s="53"/>
      <c r="L711" s="53"/>
      <c r="M711" s="53"/>
      <c r="N711" s="53"/>
      <c r="O711" s="53"/>
      <c r="P711" s="53"/>
      <c r="Q711" s="53"/>
      <c r="R711" s="53"/>
      <c r="S711" s="53"/>
      <c r="T711" s="17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</row>
    <row r="712" spans="1:40" ht="60" customHeight="1" x14ac:dyDescent="0.35">
      <c r="A712" s="13"/>
      <c r="B712" s="10"/>
      <c r="C712" s="10"/>
      <c r="D712" s="10"/>
      <c r="E712" s="52"/>
      <c r="F712" s="52"/>
      <c r="G712" s="52"/>
      <c r="H712" s="52"/>
      <c r="I712" s="52"/>
      <c r="J712" s="52"/>
      <c r="K712" s="52"/>
      <c r="L712" s="52"/>
      <c r="M712" s="52"/>
      <c r="N712" s="52"/>
      <c r="O712" s="52"/>
      <c r="P712" s="52"/>
      <c r="Q712" s="52"/>
      <c r="R712" s="52"/>
      <c r="S712" s="52"/>
      <c r="T712" s="17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</row>
    <row r="713" spans="1:40" ht="60" customHeight="1" x14ac:dyDescent="0.35">
      <c r="A713" s="14"/>
      <c r="B713" s="1"/>
      <c r="C713" s="1"/>
      <c r="D713" s="1"/>
      <c r="E713" s="50"/>
      <c r="F713" s="50"/>
      <c r="G713" s="50"/>
      <c r="H713" s="50"/>
      <c r="I713" s="50"/>
      <c r="J713" s="50"/>
      <c r="K713" s="50"/>
      <c r="L713" s="50"/>
      <c r="M713" s="50"/>
      <c r="N713" s="50"/>
      <c r="O713" s="50"/>
      <c r="P713" s="50"/>
      <c r="Q713" s="50"/>
      <c r="R713" s="50"/>
      <c r="S713" s="53"/>
      <c r="T713" s="17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</row>
    <row r="714" spans="1:40" ht="60" customHeight="1" x14ac:dyDescent="0.35">
      <c r="A714" s="13"/>
      <c r="B714" s="10"/>
      <c r="C714" s="10"/>
      <c r="D714" s="10"/>
      <c r="E714" s="52"/>
      <c r="F714" s="52"/>
      <c r="G714" s="52"/>
      <c r="H714" s="52"/>
      <c r="I714" s="52"/>
      <c r="J714" s="52"/>
      <c r="K714" s="52"/>
      <c r="L714" s="52"/>
      <c r="M714" s="52"/>
      <c r="N714" s="52"/>
      <c r="O714" s="52"/>
      <c r="P714" s="52"/>
      <c r="Q714" s="52"/>
      <c r="R714" s="52"/>
      <c r="S714" s="52"/>
      <c r="T714" s="17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</row>
    <row r="715" spans="1:40" ht="60" customHeight="1" x14ac:dyDescent="0.35">
      <c r="A715" s="14"/>
      <c r="B715" s="11"/>
      <c r="C715" s="11"/>
      <c r="D715" s="11"/>
      <c r="E715" s="53"/>
      <c r="F715" s="53"/>
      <c r="G715" s="53"/>
      <c r="H715" s="53"/>
      <c r="I715" s="53"/>
      <c r="J715" s="53"/>
      <c r="K715" s="53"/>
      <c r="L715" s="53"/>
      <c r="M715" s="53"/>
      <c r="N715" s="53"/>
      <c r="O715" s="53"/>
      <c r="P715" s="53"/>
      <c r="Q715" s="53"/>
      <c r="R715" s="53"/>
      <c r="S715" s="53"/>
      <c r="T715" s="17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</row>
    <row r="716" spans="1:40" ht="60" customHeight="1" x14ac:dyDescent="0.35">
      <c r="A716" s="13"/>
      <c r="B716" s="10"/>
      <c r="C716" s="10"/>
      <c r="D716" s="10"/>
      <c r="E716" s="52"/>
      <c r="F716" s="52"/>
      <c r="G716" s="52"/>
      <c r="H716" s="52"/>
      <c r="I716" s="52"/>
      <c r="J716" s="52"/>
      <c r="K716" s="52"/>
      <c r="L716" s="52"/>
      <c r="M716" s="52"/>
      <c r="N716" s="52"/>
      <c r="O716" s="52"/>
      <c r="P716" s="52"/>
      <c r="Q716" s="52"/>
      <c r="R716" s="52"/>
      <c r="S716" s="52"/>
      <c r="T716" s="17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</row>
    <row r="717" spans="1:40" ht="60" customHeight="1" x14ac:dyDescent="0.35">
      <c r="A717" s="14"/>
      <c r="B717" s="11"/>
      <c r="C717" s="11"/>
      <c r="D717" s="11"/>
      <c r="E717" s="53"/>
      <c r="F717" s="53"/>
      <c r="G717" s="53"/>
      <c r="H717" s="53"/>
      <c r="I717" s="53"/>
      <c r="J717" s="53"/>
      <c r="K717" s="53"/>
      <c r="L717" s="53"/>
      <c r="M717" s="53"/>
      <c r="N717" s="53"/>
      <c r="O717" s="53"/>
      <c r="P717" s="53"/>
      <c r="Q717" s="53"/>
      <c r="R717" s="53"/>
      <c r="S717" s="53"/>
      <c r="T717" s="17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</row>
    <row r="718" spans="1:40" ht="60" customHeight="1" x14ac:dyDescent="0.35">
      <c r="A718" s="13"/>
      <c r="B718" s="10"/>
      <c r="C718" s="10"/>
      <c r="D718" s="10"/>
      <c r="E718" s="52"/>
      <c r="F718" s="52"/>
      <c r="G718" s="52"/>
      <c r="H718" s="52"/>
      <c r="I718" s="52"/>
      <c r="J718" s="52"/>
      <c r="K718" s="52"/>
      <c r="L718" s="52"/>
      <c r="M718" s="52"/>
      <c r="N718" s="52"/>
      <c r="O718" s="52"/>
      <c r="P718" s="52"/>
      <c r="Q718" s="52"/>
      <c r="R718" s="52"/>
      <c r="S718" s="52"/>
      <c r="T718" s="17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</row>
    <row r="719" spans="1:40" ht="60" customHeight="1" x14ac:dyDescent="0.35">
      <c r="A719" s="14"/>
      <c r="B719" s="11"/>
      <c r="C719" s="11"/>
      <c r="D719" s="11"/>
      <c r="E719" s="53"/>
      <c r="F719" s="53"/>
      <c r="G719" s="53"/>
      <c r="H719" s="53"/>
      <c r="I719" s="53"/>
      <c r="J719" s="53"/>
      <c r="K719" s="53"/>
      <c r="L719" s="53"/>
      <c r="M719" s="53"/>
      <c r="N719" s="53"/>
      <c r="O719" s="53"/>
      <c r="P719" s="53"/>
      <c r="Q719" s="53"/>
      <c r="R719" s="53"/>
      <c r="S719" s="53"/>
      <c r="T719" s="17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</row>
    <row r="720" spans="1:40" ht="60" customHeight="1" x14ac:dyDescent="0.35">
      <c r="A720" s="13"/>
      <c r="B720" s="10"/>
      <c r="C720" s="10"/>
      <c r="D720" s="10"/>
      <c r="E720" s="52"/>
      <c r="F720" s="52"/>
      <c r="G720" s="52"/>
      <c r="H720" s="52"/>
      <c r="I720" s="52"/>
      <c r="J720" s="52"/>
      <c r="K720" s="52"/>
      <c r="L720" s="52"/>
      <c r="M720" s="52"/>
      <c r="N720" s="52"/>
      <c r="O720" s="52"/>
      <c r="P720" s="52"/>
      <c r="Q720" s="52"/>
      <c r="R720" s="52"/>
      <c r="S720" s="52"/>
      <c r="T720" s="17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</row>
    <row r="721" spans="1:40" ht="60" customHeight="1" x14ac:dyDescent="0.35">
      <c r="A721" s="14"/>
      <c r="B721" s="11"/>
      <c r="C721" s="11"/>
      <c r="D721" s="11"/>
      <c r="E721" s="53"/>
      <c r="F721" s="53"/>
      <c r="G721" s="53"/>
      <c r="H721" s="53"/>
      <c r="I721" s="53"/>
      <c r="J721" s="53"/>
      <c r="K721" s="53"/>
      <c r="L721" s="53"/>
      <c r="M721" s="53"/>
      <c r="N721" s="53"/>
      <c r="O721" s="53"/>
      <c r="P721" s="53"/>
      <c r="Q721" s="53"/>
      <c r="R721" s="53"/>
      <c r="S721" s="53"/>
      <c r="T721" s="17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</row>
    <row r="722" spans="1:40" ht="60" customHeight="1" x14ac:dyDescent="0.35">
      <c r="A722" s="13"/>
      <c r="B722" s="10"/>
      <c r="C722" s="10"/>
      <c r="D722" s="10"/>
      <c r="E722" s="52"/>
      <c r="F722" s="52"/>
      <c r="G722" s="52"/>
      <c r="H722" s="52"/>
      <c r="I722" s="52"/>
      <c r="J722" s="52"/>
      <c r="K722" s="52"/>
      <c r="L722" s="52"/>
      <c r="M722" s="52"/>
      <c r="N722" s="52"/>
      <c r="O722" s="52"/>
      <c r="P722" s="52"/>
      <c r="Q722" s="52"/>
      <c r="R722" s="52"/>
      <c r="S722" s="52"/>
      <c r="T722" s="17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</row>
    <row r="723" spans="1:40" ht="60" customHeight="1" x14ac:dyDescent="0.35">
      <c r="A723" s="14"/>
      <c r="B723" s="11"/>
      <c r="C723" s="11"/>
      <c r="D723" s="11"/>
      <c r="E723" s="53"/>
      <c r="F723" s="53"/>
      <c r="G723" s="53"/>
      <c r="H723" s="53"/>
      <c r="I723" s="53"/>
      <c r="J723" s="53"/>
      <c r="K723" s="53"/>
      <c r="L723" s="53"/>
      <c r="M723" s="53"/>
      <c r="N723" s="53"/>
      <c r="O723" s="53"/>
      <c r="P723" s="53"/>
      <c r="Q723" s="53"/>
      <c r="R723" s="53"/>
      <c r="S723" s="53"/>
      <c r="T723" s="17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</row>
    <row r="724" spans="1:40" ht="60" customHeight="1" x14ac:dyDescent="0.35">
      <c r="A724" s="13"/>
      <c r="B724" s="10"/>
      <c r="C724" s="10"/>
      <c r="D724" s="10"/>
      <c r="E724" s="52"/>
      <c r="F724" s="52"/>
      <c r="G724" s="52"/>
      <c r="H724" s="52"/>
      <c r="I724" s="52"/>
      <c r="J724" s="52"/>
      <c r="K724" s="52"/>
      <c r="L724" s="52"/>
      <c r="M724" s="52"/>
      <c r="N724" s="52"/>
      <c r="O724" s="52"/>
      <c r="P724" s="52"/>
      <c r="Q724" s="52"/>
      <c r="R724" s="52"/>
      <c r="S724" s="52"/>
      <c r="T724" s="17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</row>
    <row r="725" spans="1:40" ht="60" customHeight="1" x14ac:dyDescent="0.35">
      <c r="A725" s="14"/>
      <c r="B725" s="11"/>
      <c r="C725" s="11"/>
      <c r="D725" s="11"/>
      <c r="E725" s="53"/>
      <c r="F725" s="53"/>
      <c r="G725" s="53"/>
      <c r="H725" s="53"/>
      <c r="I725" s="53"/>
      <c r="J725" s="53"/>
      <c r="K725" s="53"/>
      <c r="L725" s="53"/>
      <c r="M725" s="53"/>
      <c r="N725" s="53"/>
      <c r="O725" s="53"/>
      <c r="P725" s="53"/>
      <c r="Q725" s="53"/>
      <c r="R725" s="53"/>
      <c r="S725" s="53"/>
      <c r="T725" s="17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</row>
    <row r="726" spans="1:40" ht="60" customHeight="1" x14ac:dyDescent="0.35">
      <c r="A726" s="13"/>
      <c r="B726" s="10"/>
      <c r="C726" s="10"/>
      <c r="D726" s="10"/>
      <c r="E726" s="52"/>
      <c r="F726" s="52"/>
      <c r="G726" s="52"/>
      <c r="H726" s="52"/>
      <c r="I726" s="52"/>
      <c r="J726" s="52"/>
      <c r="K726" s="52"/>
      <c r="L726" s="52"/>
      <c r="M726" s="52"/>
      <c r="N726" s="52"/>
      <c r="O726" s="52"/>
      <c r="P726" s="52"/>
      <c r="Q726" s="52"/>
      <c r="R726" s="52"/>
      <c r="S726" s="52"/>
      <c r="T726" s="17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</row>
    <row r="727" spans="1:40" ht="60" customHeight="1" x14ac:dyDescent="0.35">
      <c r="A727" s="14"/>
      <c r="B727" s="1"/>
      <c r="C727" s="1"/>
      <c r="D727" s="1"/>
      <c r="E727" s="50"/>
      <c r="F727" s="50"/>
      <c r="G727" s="50"/>
      <c r="H727" s="50"/>
      <c r="I727" s="50"/>
      <c r="J727" s="50"/>
      <c r="K727" s="50"/>
      <c r="L727" s="50"/>
      <c r="M727" s="50"/>
      <c r="N727" s="50"/>
      <c r="O727" s="50"/>
      <c r="P727" s="50"/>
      <c r="Q727" s="50"/>
      <c r="R727" s="50"/>
      <c r="S727" s="53"/>
      <c r="T727" s="17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</row>
    <row r="728" spans="1:40" ht="60" customHeight="1" x14ac:dyDescent="0.35">
      <c r="A728" s="13"/>
      <c r="B728" s="10"/>
      <c r="C728" s="10"/>
      <c r="D728" s="10"/>
      <c r="E728" s="52"/>
      <c r="F728" s="52"/>
      <c r="G728" s="52"/>
      <c r="H728" s="52"/>
      <c r="I728" s="52"/>
      <c r="J728" s="52"/>
      <c r="K728" s="52"/>
      <c r="L728" s="52"/>
      <c r="M728" s="52"/>
      <c r="N728" s="52"/>
      <c r="O728" s="52"/>
      <c r="P728" s="52"/>
      <c r="Q728" s="52"/>
      <c r="R728" s="52"/>
      <c r="S728" s="52"/>
      <c r="T728" s="17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</row>
    <row r="729" spans="1:40" ht="60" customHeight="1" x14ac:dyDescent="0.35">
      <c r="A729" s="14"/>
      <c r="B729" s="11"/>
      <c r="C729" s="11"/>
      <c r="D729" s="11"/>
      <c r="E729" s="53"/>
      <c r="F729" s="53"/>
      <c r="G729" s="53"/>
      <c r="H729" s="53"/>
      <c r="I729" s="53"/>
      <c r="J729" s="53"/>
      <c r="K729" s="53"/>
      <c r="L729" s="53"/>
      <c r="M729" s="53"/>
      <c r="N729" s="53"/>
      <c r="O729" s="53"/>
      <c r="P729" s="53"/>
      <c r="Q729" s="53"/>
      <c r="R729" s="53"/>
      <c r="S729" s="53"/>
      <c r="T729" s="17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</row>
    <row r="730" spans="1:40" ht="60" customHeight="1" x14ac:dyDescent="0.35">
      <c r="A730" s="13"/>
      <c r="B730" s="10"/>
      <c r="C730" s="10"/>
      <c r="D730" s="10"/>
      <c r="E730" s="52"/>
      <c r="F730" s="52"/>
      <c r="G730" s="52"/>
      <c r="H730" s="52"/>
      <c r="I730" s="52"/>
      <c r="J730" s="52"/>
      <c r="K730" s="52"/>
      <c r="L730" s="52"/>
      <c r="M730" s="52"/>
      <c r="N730" s="52"/>
      <c r="O730" s="52"/>
      <c r="P730" s="52"/>
      <c r="Q730" s="52"/>
      <c r="R730" s="52"/>
      <c r="S730" s="52"/>
      <c r="T730" s="17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</row>
    <row r="731" spans="1:40" ht="60" customHeight="1" x14ac:dyDescent="0.35">
      <c r="A731" s="14"/>
      <c r="B731" s="11"/>
      <c r="C731" s="11"/>
      <c r="D731" s="11"/>
      <c r="E731" s="53"/>
      <c r="F731" s="53"/>
      <c r="G731" s="53"/>
      <c r="H731" s="53"/>
      <c r="I731" s="53"/>
      <c r="J731" s="53"/>
      <c r="K731" s="53"/>
      <c r="L731" s="53"/>
      <c r="M731" s="53"/>
      <c r="N731" s="53"/>
      <c r="O731" s="53"/>
      <c r="P731" s="53"/>
      <c r="Q731" s="53"/>
      <c r="R731" s="53"/>
      <c r="S731" s="53"/>
      <c r="T731" s="17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</row>
    <row r="732" spans="1:40" ht="60" customHeight="1" x14ac:dyDescent="0.35">
      <c r="A732" s="13"/>
      <c r="B732" s="10"/>
      <c r="C732" s="10"/>
      <c r="D732" s="10"/>
      <c r="E732" s="52"/>
      <c r="F732" s="52"/>
      <c r="G732" s="52"/>
      <c r="H732" s="52"/>
      <c r="I732" s="52"/>
      <c r="J732" s="52"/>
      <c r="K732" s="52"/>
      <c r="L732" s="52"/>
      <c r="M732" s="52"/>
      <c r="N732" s="52"/>
      <c r="O732" s="52"/>
      <c r="P732" s="52"/>
      <c r="Q732" s="52"/>
      <c r="R732" s="52"/>
      <c r="S732" s="52"/>
      <c r="T732" s="17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</row>
    <row r="733" spans="1:40" ht="60" customHeight="1" x14ac:dyDescent="0.35">
      <c r="A733" s="14"/>
      <c r="B733" s="1"/>
      <c r="C733" s="1"/>
      <c r="D733" s="1"/>
      <c r="E733" s="50"/>
      <c r="F733" s="50"/>
      <c r="G733" s="50"/>
      <c r="H733" s="50"/>
      <c r="I733" s="50"/>
      <c r="J733" s="50"/>
      <c r="K733" s="50"/>
      <c r="L733" s="50"/>
      <c r="M733" s="50"/>
      <c r="N733" s="50"/>
      <c r="O733" s="50"/>
      <c r="P733" s="50"/>
      <c r="Q733" s="50"/>
      <c r="R733" s="50"/>
      <c r="S733" s="50"/>
      <c r="T733" s="17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</row>
    <row r="734" spans="1:40" ht="60" customHeight="1" x14ac:dyDescent="0.35">
      <c r="A734" s="13"/>
      <c r="B734" s="10"/>
      <c r="C734" s="10"/>
      <c r="D734" s="10"/>
      <c r="E734" s="52"/>
      <c r="F734" s="52"/>
      <c r="G734" s="52"/>
      <c r="H734" s="52"/>
      <c r="I734" s="52"/>
      <c r="J734" s="52"/>
      <c r="K734" s="52"/>
      <c r="L734" s="52"/>
      <c r="M734" s="52"/>
      <c r="N734" s="52"/>
      <c r="O734" s="52"/>
      <c r="P734" s="52"/>
      <c r="Q734" s="52"/>
      <c r="R734" s="52"/>
      <c r="S734" s="52"/>
      <c r="T734" s="17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</row>
    <row r="735" spans="1:40" ht="60" customHeight="1" x14ac:dyDescent="0.35">
      <c r="A735" s="14"/>
      <c r="B735" s="1"/>
      <c r="C735" s="1"/>
      <c r="D735" s="1"/>
      <c r="E735" s="50"/>
      <c r="F735" s="50"/>
      <c r="G735" s="50"/>
      <c r="H735" s="50"/>
      <c r="I735" s="50"/>
      <c r="J735" s="50"/>
      <c r="K735" s="50"/>
      <c r="L735" s="50"/>
      <c r="M735" s="50"/>
      <c r="N735" s="50"/>
      <c r="O735" s="50"/>
      <c r="P735" s="50"/>
      <c r="Q735" s="50"/>
      <c r="R735" s="50"/>
      <c r="S735" s="50"/>
      <c r="T735" s="17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</row>
    <row r="736" spans="1:40" ht="60" customHeight="1" x14ac:dyDescent="0.35">
      <c r="A736" s="13"/>
      <c r="B736" s="10"/>
      <c r="C736" s="10"/>
      <c r="D736" s="10"/>
      <c r="E736" s="52"/>
      <c r="F736" s="52"/>
      <c r="G736" s="52"/>
      <c r="H736" s="52"/>
      <c r="I736" s="52"/>
      <c r="J736" s="52"/>
      <c r="K736" s="52"/>
      <c r="L736" s="52"/>
      <c r="M736" s="52"/>
      <c r="N736" s="52"/>
      <c r="O736" s="52"/>
      <c r="P736" s="52"/>
      <c r="Q736" s="52"/>
      <c r="R736" s="52"/>
      <c r="S736" s="52"/>
      <c r="T736" s="17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</row>
    <row r="737" spans="1:40" ht="60" customHeight="1" x14ac:dyDescent="0.35">
      <c r="A737" s="14"/>
      <c r="B737" s="11"/>
      <c r="C737" s="11"/>
      <c r="D737" s="11"/>
      <c r="E737" s="53"/>
      <c r="F737" s="53"/>
      <c r="G737" s="53"/>
      <c r="H737" s="53"/>
      <c r="I737" s="53"/>
      <c r="J737" s="53"/>
      <c r="K737" s="53"/>
      <c r="L737" s="53"/>
      <c r="M737" s="53"/>
      <c r="N737" s="53"/>
      <c r="O737" s="53"/>
      <c r="P737" s="53"/>
      <c r="Q737" s="53"/>
      <c r="R737" s="53"/>
      <c r="S737" s="53"/>
      <c r="T737" s="17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</row>
    <row r="738" spans="1:40" ht="60" customHeight="1" x14ac:dyDescent="0.35">
      <c r="A738" s="13"/>
      <c r="B738" s="10"/>
      <c r="C738" s="10"/>
      <c r="D738" s="10"/>
      <c r="E738" s="52"/>
      <c r="F738" s="52"/>
      <c r="G738" s="52"/>
      <c r="H738" s="52"/>
      <c r="I738" s="52"/>
      <c r="J738" s="52"/>
      <c r="K738" s="52"/>
      <c r="L738" s="52"/>
      <c r="M738" s="52"/>
      <c r="N738" s="52"/>
      <c r="O738" s="52"/>
      <c r="P738" s="52"/>
      <c r="Q738" s="52"/>
      <c r="R738" s="52"/>
      <c r="S738" s="52"/>
      <c r="T738" s="17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</row>
    <row r="739" spans="1:40" ht="60" customHeight="1" x14ac:dyDescent="0.35">
      <c r="A739" s="14"/>
      <c r="B739" s="11"/>
      <c r="C739" s="11"/>
      <c r="D739" s="11"/>
      <c r="E739" s="53"/>
      <c r="F739" s="53"/>
      <c r="G739" s="53"/>
      <c r="H739" s="53"/>
      <c r="I739" s="53"/>
      <c r="J739" s="53"/>
      <c r="K739" s="53"/>
      <c r="L739" s="53"/>
      <c r="M739" s="53"/>
      <c r="N739" s="53"/>
      <c r="O739" s="53"/>
      <c r="P739" s="53"/>
      <c r="Q739" s="53"/>
      <c r="R739" s="53"/>
      <c r="S739" s="53"/>
      <c r="T739" s="17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</row>
    <row r="740" spans="1:40" ht="60" customHeight="1" x14ac:dyDescent="0.35">
      <c r="A740" s="13"/>
      <c r="B740" s="10"/>
      <c r="C740" s="10"/>
      <c r="D740" s="10"/>
      <c r="E740" s="52"/>
      <c r="F740" s="52"/>
      <c r="G740" s="52"/>
      <c r="H740" s="52"/>
      <c r="I740" s="52"/>
      <c r="J740" s="52"/>
      <c r="K740" s="52"/>
      <c r="L740" s="52"/>
      <c r="M740" s="52"/>
      <c r="N740" s="52"/>
      <c r="O740" s="52"/>
      <c r="P740" s="52"/>
      <c r="Q740" s="52"/>
      <c r="R740" s="52"/>
      <c r="S740" s="52"/>
      <c r="T740" s="17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</row>
    <row r="741" spans="1:40" ht="60" customHeight="1" x14ac:dyDescent="0.35">
      <c r="A741" s="14"/>
      <c r="B741" s="1"/>
      <c r="C741" s="1"/>
      <c r="D741" s="1"/>
      <c r="E741" s="50"/>
      <c r="F741" s="50"/>
      <c r="G741" s="50"/>
      <c r="H741" s="50"/>
      <c r="I741" s="50"/>
      <c r="J741" s="50"/>
      <c r="K741" s="50"/>
      <c r="L741" s="50"/>
      <c r="M741" s="50"/>
      <c r="N741" s="50"/>
      <c r="O741" s="50"/>
      <c r="P741" s="50"/>
      <c r="Q741" s="50"/>
      <c r="R741" s="50"/>
      <c r="S741" s="50"/>
      <c r="T741" s="17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</row>
    <row r="742" spans="1:40" ht="60" customHeight="1" x14ac:dyDescent="0.35">
      <c r="A742" s="13"/>
      <c r="B742" s="10"/>
      <c r="C742" s="10"/>
      <c r="D742" s="10"/>
      <c r="E742" s="52"/>
      <c r="F742" s="52"/>
      <c r="G742" s="52"/>
      <c r="H742" s="52"/>
      <c r="I742" s="52"/>
      <c r="J742" s="52"/>
      <c r="K742" s="52"/>
      <c r="L742" s="52"/>
      <c r="M742" s="52"/>
      <c r="N742" s="52"/>
      <c r="O742" s="52"/>
      <c r="P742" s="52"/>
      <c r="Q742" s="52"/>
      <c r="R742" s="52"/>
      <c r="S742" s="52"/>
      <c r="T742" s="17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</row>
    <row r="743" spans="1:40" ht="60" customHeight="1" x14ac:dyDescent="0.35">
      <c r="A743" s="14"/>
      <c r="B743" s="1"/>
      <c r="C743" s="1"/>
      <c r="D743" s="1"/>
      <c r="E743" s="50"/>
      <c r="F743" s="50"/>
      <c r="G743" s="50"/>
      <c r="H743" s="50"/>
      <c r="I743" s="50"/>
      <c r="J743" s="50"/>
      <c r="K743" s="50"/>
      <c r="L743" s="50"/>
      <c r="M743" s="50"/>
      <c r="N743" s="50"/>
      <c r="O743" s="50"/>
      <c r="P743" s="50"/>
      <c r="Q743" s="50"/>
      <c r="R743" s="50"/>
      <c r="S743" s="50"/>
      <c r="T743" s="17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</row>
    <row r="744" spans="1:40" ht="60" customHeight="1" x14ac:dyDescent="0.35">
      <c r="A744" s="13"/>
      <c r="B744" s="10"/>
      <c r="C744" s="10"/>
      <c r="D744" s="10"/>
      <c r="E744" s="52"/>
      <c r="F744" s="52"/>
      <c r="G744" s="52"/>
      <c r="H744" s="52"/>
      <c r="I744" s="52"/>
      <c r="J744" s="52"/>
      <c r="K744" s="52"/>
      <c r="L744" s="52"/>
      <c r="M744" s="52"/>
      <c r="N744" s="52"/>
      <c r="O744" s="52"/>
      <c r="P744" s="52"/>
      <c r="Q744" s="52"/>
      <c r="R744" s="52"/>
      <c r="S744" s="52"/>
      <c r="T744" s="17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</row>
    <row r="745" spans="1:40" ht="60" customHeight="1" x14ac:dyDescent="0.35">
      <c r="A745" s="14"/>
      <c r="B745" s="1"/>
      <c r="C745" s="1"/>
      <c r="D745" s="1"/>
      <c r="E745" s="50"/>
      <c r="F745" s="50"/>
      <c r="G745" s="50"/>
      <c r="H745" s="50"/>
      <c r="I745" s="50"/>
      <c r="J745" s="50"/>
      <c r="K745" s="50"/>
      <c r="L745" s="50"/>
      <c r="M745" s="50"/>
      <c r="N745" s="50"/>
      <c r="O745" s="50"/>
      <c r="P745" s="50"/>
      <c r="Q745" s="50"/>
      <c r="R745" s="50"/>
      <c r="S745" s="50"/>
      <c r="T745" s="17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</row>
    <row r="746" spans="1:40" ht="60" customHeight="1" x14ac:dyDescent="0.35">
      <c r="A746" s="13"/>
      <c r="B746" s="10"/>
      <c r="C746" s="10"/>
      <c r="D746" s="10"/>
      <c r="E746" s="52"/>
      <c r="F746" s="52"/>
      <c r="G746" s="52"/>
      <c r="H746" s="52"/>
      <c r="I746" s="52"/>
      <c r="J746" s="52"/>
      <c r="K746" s="52"/>
      <c r="L746" s="52"/>
      <c r="M746" s="52"/>
      <c r="N746" s="52"/>
      <c r="O746" s="52"/>
      <c r="P746" s="52"/>
      <c r="Q746" s="52"/>
      <c r="R746" s="52"/>
      <c r="S746" s="52"/>
      <c r="T746" s="17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</row>
    <row r="747" spans="1:40" ht="60" customHeight="1" x14ac:dyDescent="0.35">
      <c r="A747" s="14"/>
      <c r="B747" s="1"/>
      <c r="C747" s="1"/>
      <c r="D747" s="1"/>
      <c r="E747" s="50"/>
      <c r="F747" s="50"/>
      <c r="G747" s="50"/>
      <c r="H747" s="50"/>
      <c r="I747" s="50"/>
      <c r="J747" s="50"/>
      <c r="K747" s="50"/>
      <c r="L747" s="50"/>
      <c r="M747" s="50"/>
      <c r="N747" s="50"/>
      <c r="O747" s="50"/>
      <c r="P747" s="50"/>
      <c r="Q747" s="50"/>
      <c r="R747" s="50"/>
      <c r="S747" s="50"/>
      <c r="T747" s="17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</row>
    <row r="748" spans="1:40" ht="60" customHeight="1" x14ac:dyDescent="0.35">
      <c r="A748" s="13"/>
      <c r="B748" s="10"/>
      <c r="C748" s="10"/>
      <c r="D748" s="10"/>
      <c r="E748" s="52"/>
      <c r="F748" s="52"/>
      <c r="G748" s="52"/>
      <c r="H748" s="52"/>
      <c r="I748" s="52"/>
      <c r="J748" s="52"/>
      <c r="K748" s="52"/>
      <c r="L748" s="52"/>
      <c r="M748" s="52"/>
      <c r="N748" s="52"/>
      <c r="O748" s="52"/>
      <c r="P748" s="52"/>
      <c r="Q748" s="52"/>
      <c r="R748" s="52"/>
      <c r="S748" s="52"/>
      <c r="T748" s="17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</row>
    <row r="749" spans="1:40" ht="60" customHeight="1" x14ac:dyDescent="0.35">
      <c r="A749" s="14"/>
      <c r="B749" s="1"/>
      <c r="C749" s="1"/>
      <c r="D749" s="1"/>
      <c r="E749" s="50"/>
      <c r="F749" s="50"/>
      <c r="G749" s="50"/>
      <c r="H749" s="50"/>
      <c r="I749" s="50"/>
      <c r="J749" s="50"/>
      <c r="K749" s="50"/>
      <c r="L749" s="50"/>
      <c r="M749" s="50"/>
      <c r="N749" s="50"/>
      <c r="O749" s="50"/>
      <c r="P749" s="50"/>
      <c r="Q749" s="50"/>
      <c r="R749" s="50"/>
      <c r="S749" s="50"/>
      <c r="T749" s="17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</row>
    <row r="750" spans="1:40" ht="60" customHeight="1" x14ac:dyDescent="0.35">
      <c r="A750" s="13"/>
      <c r="B750" s="10"/>
      <c r="C750" s="10"/>
      <c r="D750" s="10"/>
      <c r="E750" s="52"/>
      <c r="F750" s="52"/>
      <c r="G750" s="52"/>
      <c r="H750" s="52"/>
      <c r="I750" s="52"/>
      <c r="J750" s="52"/>
      <c r="K750" s="52"/>
      <c r="L750" s="52"/>
      <c r="M750" s="52"/>
      <c r="N750" s="52"/>
      <c r="O750" s="52"/>
      <c r="P750" s="52"/>
      <c r="Q750" s="52"/>
      <c r="R750" s="52"/>
      <c r="S750" s="52"/>
      <c r="T750" s="17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</row>
    <row r="751" spans="1:40" ht="60" customHeight="1" x14ac:dyDescent="0.35">
      <c r="A751" s="14"/>
      <c r="B751" s="11"/>
      <c r="C751" s="11"/>
      <c r="D751" s="11"/>
      <c r="E751" s="53"/>
      <c r="F751" s="53"/>
      <c r="G751" s="53"/>
      <c r="H751" s="53"/>
      <c r="I751" s="53"/>
      <c r="J751" s="53"/>
      <c r="K751" s="53"/>
      <c r="L751" s="53"/>
      <c r="M751" s="53"/>
      <c r="N751" s="53"/>
      <c r="O751" s="53"/>
      <c r="P751" s="53"/>
      <c r="Q751" s="53"/>
      <c r="R751" s="53"/>
      <c r="S751" s="53"/>
      <c r="T751" s="17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</row>
    <row r="752" spans="1:40" ht="60" customHeight="1" x14ac:dyDescent="0.35">
      <c r="A752" s="13"/>
      <c r="B752" s="10"/>
      <c r="C752" s="10"/>
      <c r="D752" s="10"/>
      <c r="E752" s="52"/>
      <c r="F752" s="52"/>
      <c r="G752" s="52"/>
      <c r="H752" s="52"/>
      <c r="I752" s="52"/>
      <c r="J752" s="52"/>
      <c r="K752" s="52"/>
      <c r="L752" s="52"/>
      <c r="M752" s="52"/>
      <c r="N752" s="52"/>
      <c r="O752" s="52"/>
      <c r="P752" s="52"/>
      <c r="Q752" s="52"/>
      <c r="R752" s="52"/>
      <c r="S752" s="52"/>
      <c r="T752" s="17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</row>
    <row r="753" spans="1:40" ht="60" customHeight="1" x14ac:dyDescent="0.35">
      <c r="A753" s="14"/>
      <c r="B753" s="1"/>
      <c r="C753" s="1"/>
      <c r="D753" s="1"/>
      <c r="E753" s="50"/>
      <c r="F753" s="50"/>
      <c r="G753" s="50"/>
      <c r="H753" s="50"/>
      <c r="I753" s="50"/>
      <c r="J753" s="50"/>
      <c r="K753" s="50"/>
      <c r="L753" s="50"/>
      <c r="M753" s="50"/>
      <c r="N753" s="50"/>
      <c r="O753" s="50"/>
      <c r="P753" s="50"/>
      <c r="Q753" s="50"/>
      <c r="R753" s="50"/>
      <c r="S753" s="50"/>
      <c r="T753" s="17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</row>
    <row r="754" spans="1:40" ht="60" customHeight="1" x14ac:dyDescent="0.35">
      <c r="A754" s="13"/>
      <c r="B754" s="10"/>
      <c r="C754" s="10"/>
      <c r="D754" s="10"/>
      <c r="E754" s="52"/>
      <c r="F754" s="52"/>
      <c r="G754" s="52"/>
      <c r="H754" s="52"/>
      <c r="I754" s="52"/>
      <c r="J754" s="52"/>
      <c r="K754" s="52"/>
      <c r="L754" s="52"/>
      <c r="M754" s="52"/>
      <c r="N754" s="52"/>
      <c r="O754" s="52"/>
      <c r="P754" s="52"/>
      <c r="Q754" s="52"/>
      <c r="R754" s="52"/>
      <c r="S754" s="52"/>
      <c r="T754" s="17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</row>
    <row r="755" spans="1:40" ht="60" customHeight="1" x14ac:dyDescent="0.35">
      <c r="A755" s="14"/>
      <c r="B755" s="11"/>
      <c r="C755" s="11"/>
      <c r="D755" s="11"/>
      <c r="E755" s="53"/>
      <c r="F755" s="53"/>
      <c r="G755" s="53"/>
      <c r="H755" s="53"/>
      <c r="I755" s="53"/>
      <c r="J755" s="53"/>
      <c r="K755" s="53"/>
      <c r="L755" s="53"/>
      <c r="M755" s="53"/>
      <c r="N755" s="53"/>
      <c r="O755" s="53"/>
      <c r="P755" s="53"/>
      <c r="Q755" s="53"/>
      <c r="R755" s="53"/>
      <c r="S755" s="53"/>
      <c r="T755" s="17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</row>
    <row r="756" spans="1:40" ht="60" customHeight="1" x14ac:dyDescent="0.35">
      <c r="A756" s="13"/>
      <c r="B756" s="10"/>
      <c r="C756" s="10"/>
      <c r="D756" s="10"/>
      <c r="E756" s="52"/>
      <c r="F756" s="52"/>
      <c r="G756" s="52"/>
      <c r="H756" s="52"/>
      <c r="I756" s="52"/>
      <c r="J756" s="52"/>
      <c r="K756" s="52"/>
      <c r="L756" s="52"/>
      <c r="M756" s="52"/>
      <c r="N756" s="52"/>
      <c r="O756" s="52"/>
      <c r="P756" s="52"/>
      <c r="Q756" s="52"/>
      <c r="R756" s="52"/>
      <c r="S756" s="52"/>
      <c r="T756" s="17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</row>
    <row r="757" spans="1:40" ht="60" customHeight="1" x14ac:dyDescent="0.35">
      <c r="A757" s="14"/>
      <c r="B757" s="1"/>
      <c r="C757" s="1"/>
      <c r="D757" s="1"/>
      <c r="E757" s="50"/>
      <c r="F757" s="50"/>
      <c r="G757" s="50"/>
      <c r="H757" s="50"/>
      <c r="I757" s="50"/>
      <c r="J757" s="50"/>
      <c r="K757" s="50"/>
      <c r="L757" s="50"/>
      <c r="M757" s="50"/>
      <c r="N757" s="50"/>
      <c r="O757" s="50"/>
      <c r="P757" s="50"/>
      <c r="Q757" s="50"/>
      <c r="R757" s="50"/>
      <c r="S757" s="50"/>
      <c r="T757" s="17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</row>
    <row r="758" spans="1:40" ht="60" customHeight="1" x14ac:dyDescent="0.35">
      <c r="A758" s="13"/>
      <c r="B758" s="10"/>
      <c r="C758" s="10"/>
      <c r="D758" s="10"/>
      <c r="E758" s="52"/>
      <c r="F758" s="52"/>
      <c r="G758" s="52"/>
      <c r="H758" s="52"/>
      <c r="I758" s="52"/>
      <c r="J758" s="52"/>
      <c r="K758" s="52"/>
      <c r="L758" s="52"/>
      <c r="M758" s="52"/>
      <c r="N758" s="52"/>
      <c r="O758" s="52"/>
      <c r="P758" s="52"/>
      <c r="Q758" s="52"/>
      <c r="R758" s="52"/>
      <c r="S758" s="52"/>
      <c r="T758" s="17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</row>
    <row r="759" spans="1:40" ht="60" customHeight="1" x14ac:dyDescent="0.35">
      <c r="A759" s="14"/>
      <c r="B759" s="11"/>
      <c r="C759" s="11"/>
      <c r="D759" s="11"/>
      <c r="E759" s="53"/>
      <c r="F759" s="53"/>
      <c r="G759" s="53"/>
      <c r="H759" s="53"/>
      <c r="I759" s="53"/>
      <c r="J759" s="53"/>
      <c r="K759" s="53"/>
      <c r="L759" s="53"/>
      <c r="M759" s="53"/>
      <c r="N759" s="53"/>
      <c r="O759" s="53"/>
      <c r="P759" s="53"/>
      <c r="Q759" s="53"/>
      <c r="R759" s="53"/>
      <c r="S759" s="53"/>
      <c r="T759" s="17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</row>
    <row r="760" spans="1:40" ht="60" customHeight="1" x14ac:dyDescent="0.35">
      <c r="A760" s="13"/>
      <c r="B760" s="10"/>
      <c r="C760" s="10"/>
      <c r="D760" s="10"/>
      <c r="E760" s="52"/>
      <c r="F760" s="52"/>
      <c r="G760" s="52"/>
      <c r="H760" s="52"/>
      <c r="I760" s="52"/>
      <c r="J760" s="52"/>
      <c r="K760" s="52"/>
      <c r="L760" s="52"/>
      <c r="M760" s="52"/>
      <c r="N760" s="52"/>
      <c r="O760" s="52"/>
      <c r="P760" s="52"/>
      <c r="Q760" s="52"/>
      <c r="R760" s="52"/>
      <c r="S760" s="52"/>
      <c r="T760" s="17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</row>
    <row r="761" spans="1:40" ht="60" customHeight="1" x14ac:dyDescent="0.35">
      <c r="A761" s="14"/>
      <c r="B761" s="1"/>
      <c r="C761" s="1"/>
      <c r="D761" s="1"/>
      <c r="E761" s="50"/>
      <c r="F761" s="50"/>
      <c r="G761" s="50"/>
      <c r="H761" s="50"/>
      <c r="I761" s="50"/>
      <c r="J761" s="50"/>
      <c r="K761" s="50"/>
      <c r="L761" s="50"/>
      <c r="M761" s="50"/>
      <c r="N761" s="50"/>
      <c r="O761" s="50"/>
      <c r="P761" s="50"/>
      <c r="Q761" s="50"/>
      <c r="R761" s="50"/>
      <c r="S761" s="50"/>
      <c r="T761" s="17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</row>
    <row r="762" spans="1:40" ht="60" customHeight="1" x14ac:dyDescent="0.35">
      <c r="A762" s="13"/>
      <c r="B762" s="10"/>
      <c r="C762" s="10"/>
      <c r="D762" s="10"/>
      <c r="E762" s="52"/>
      <c r="F762" s="52"/>
      <c r="G762" s="52"/>
      <c r="H762" s="52"/>
      <c r="I762" s="52"/>
      <c r="J762" s="52"/>
      <c r="K762" s="52"/>
      <c r="L762" s="52"/>
      <c r="M762" s="52"/>
      <c r="N762" s="52"/>
      <c r="O762" s="52"/>
      <c r="P762" s="52"/>
      <c r="Q762" s="52"/>
      <c r="R762" s="52"/>
      <c r="S762" s="52"/>
      <c r="T762" s="17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</row>
    <row r="763" spans="1:40" ht="60" customHeight="1" x14ac:dyDescent="0.35">
      <c r="A763" s="14"/>
      <c r="B763" s="1"/>
      <c r="C763" s="1"/>
      <c r="D763" s="1"/>
      <c r="E763" s="50"/>
      <c r="F763" s="50"/>
      <c r="G763" s="50"/>
      <c r="H763" s="50"/>
      <c r="I763" s="50"/>
      <c r="J763" s="50"/>
      <c r="K763" s="50"/>
      <c r="L763" s="50"/>
      <c r="M763" s="50"/>
      <c r="N763" s="50"/>
      <c r="O763" s="50"/>
      <c r="P763" s="50"/>
      <c r="Q763" s="50"/>
      <c r="R763" s="50"/>
      <c r="S763" s="53"/>
      <c r="T763" s="17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</row>
    <row r="764" spans="1:40" ht="60" customHeight="1" x14ac:dyDescent="0.35">
      <c r="A764" s="13"/>
      <c r="B764" s="10"/>
      <c r="C764" s="10"/>
      <c r="D764" s="10"/>
      <c r="E764" s="52"/>
      <c r="F764" s="52"/>
      <c r="G764" s="52"/>
      <c r="H764" s="52"/>
      <c r="I764" s="52"/>
      <c r="J764" s="52"/>
      <c r="K764" s="52"/>
      <c r="L764" s="52"/>
      <c r="M764" s="52"/>
      <c r="N764" s="52"/>
      <c r="O764" s="52"/>
      <c r="P764" s="52"/>
      <c r="Q764" s="52"/>
      <c r="R764" s="52"/>
      <c r="S764" s="52"/>
      <c r="T764" s="17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</row>
    <row r="765" spans="1:40" ht="60" customHeight="1" x14ac:dyDescent="0.35">
      <c r="A765" s="14"/>
      <c r="B765" s="1"/>
      <c r="C765" s="1"/>
      <c r="D765" s="1"/>
      <c r="E765" s="50"/>
      <c r="F765" s="50"/>
      <c r="G765" s="50"/>
      <c r="H765" s="50"/>
      <c r="I765" s="50"/>
      <c r="J765" s="50"/>
      <c r="K765" s="50"/>
      <c r="L765" s="50"/>
      <c r="M765" s="50"/>
      <c r="N765" s="50"/>
      <c r="O765" s="50"/>
      <c r="P765" s="50"/>
      <c r="Q765" s="50"/>
      <c r="R765" s="50"/>
      <c r="S765" s="50"/>
      <c r="T765" s="17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</row>
    <row r="766" spans="1:40" ht="60" customHeight="1" x14ac:dyDescent="0.35">
      <c r="A766" s="13"/>
      <c r="B766" s="10"/>
      <c r="C766" s="10"/>
      <c r="D766" s="10"/>
      <c r="E766" s="52"/>
      <c r="F766" s="52"/>
      <c r="G766" s="52"/>
      <c r="H766" s="52"/>
      <c r="I766" s="52"/>
      <c r="J766" s="52"/>
      <c r="K766" s="52"/>
      <c r="L766" s="52"/>
      <c r="M766" s="52"/>
      <c r="N766" s="52"/>
      <c r="O766" s="52"/>
      <c r="P766" s="52"/>
      <c r="Q766" s="52"/>
      <c r="R766" s="52"/>
      <c r="S766" s="52"/>
      <c r="T766" s="17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</row>
    <row r="767" spans="1:40" ht="60" customHeight="1" x14ac:dyDescent="0.35">
      <c r="A767" s="14"/>
      <c r="B767" s="11"/>
      <c r="C767" s="11"/>
      <c r="D767" s="11"/>
      <c r="E767" s="53"/>
      <c r="F767" s="53"/>
      <c r="G767" s="53"/>
      <c r="H767" s="53"/>
      <c r="I767" s="53"/>
      <c r="J767" s="53"/>
      <c r="K767" s="53"/>
      <c r="L767" s="53"/>
      <c r="M767" s="53"/>
      <c r="N767" s="53"/>
      <c r="O767" s="53"/>
      <c r="P767" s="53"/>
      <c r="Q767" s="53"/>
      <c r="R767" s="53"/>
      <c r="S767" s="53"/>
      <c r="T767" s="17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</row>
    <row r="768" spans="1:40" ht="60" customHeight="1" x14ac:dyDescent="0.35">
      <c r="A768" s="13"/>
      <c r="B768" s="10"/>
      <c r="C768" s="10"/>
      <c r="D768" s="10"/>
      <c r="E768" s="52"/>
      <c r="F768" s="52"/>
      <c r="G768" s="52"/>
      <c r="H768" s="52"/>
      <c r="I768" s="52"/>
      <c r="J768" s="52"/>
      <c r="K768" s="52"/>
      <c r="L768" s="52"/>
      <c r="M768" s="52"/>
      <c r="N768" s="52"/>
      <c r="O768" s="52"/>
      <c r="P768" s="52"/>
      <c r="Q768" s="52"/>
      <c r="R768" s="52"/>
      <c r="S768" s="52"/>
      <c r="T768" s="17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</row>
    <row r="769" spans="1:40" ht="60" customHeight="1" x14ac:dyDescent="0.35">
      <c r="A769" s="14"/>
      <c r="B769" s="1"/>
      <c r="C769" s="1"/>
      <c r="D769" s="1"/>
      <c r="E769" s="50"/>
      <c r="F769" s="50"/>
      <c r="G769" s="50"/>
      <c r="H769" s="50"/>
      <c r="I769" s="50"/>
      <c r="J769" s="50"/>
      <c r="K769" s="50"/>
      <c r="L769" s="50"/>
      <c r="M769" s="50"/>
      <c r="N769" s="50"/>
      <c r="O769" s="50"/>
      <c r="P769" s="50"/>
      <c r="Q769" s="50"/>
      <c r="R769" s="50"/>
      <c r="S769" s="50"/>
      <c r="T769" s="17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</row>
    <row r="770" spans="1:40" ht="60" customHeight="1" x14ac:dyDescent="0.35">
      <c r="A770" s="13"/>
      <c r="B770" s="10"/>
      <c r="C770" s="10"/>
      <c r="D770" s="10"/>
      <c r="E770" s="52"/>
      <c r="F770" s="52"/>
      <c r="G770" s="52"/>
      <c r="H770" s="52"/>
      <c r="I770" s="52"/>
      <c r="J770" s="52"/>
      <c r="K770" s="52"/>
      <c r="L770" s="52"/>
      <c r="M770" s="52"/>
      <c r="N770" s="52"/>
      <c r="O770" s="52"/>
      <c r="P770" s="52"/>
      <c r="Q770" s="52"/>
      <c r="R770" s="52"/>
      <c r="S770" s="52"/>
      <c r="T770" s="17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</row>
    <row r="771" spans="1:40" ht="60" customHeight="1" x14ac:dyDescent="0.35">
      <c r="A771" s="14"/>
      <c r="B771" s="1"/>
      <c r="C771" s="1"/>
      <c r="D771" s="1"/>
      <c r="E771" s="50"/>
      <c r="F771" s="50"/>
      <c r="G771" s="50"/>
      <c r="H771" s="50"/>
      <c r="I771" s="50"/>
      <c r="J771" s="50"/>
      <c r="K771" s="50"/>
      <c r="L771" s="50"/>
      <c r="M771" s="50"/>
      <c r="N771" s="50"/>
      <c r="O771" s="50"/>
      <c r="P771" s="50"/>
      <c r="Q771" s="50"/>
      <c r="R771" s="50"/>
      <c r="S771" s="50"/>
      <c r="T771" s="17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</row>
    <row r="772" spans="1:40" ht="60" customHeight="1" x14ac:dyDescent="0.35">
      <c r="A772" s="13"/>
      <c r="B772" s="10"/>
      <c r="C772" s="10"/>
      <c r="D772" s="10"/>
      <c r="E772" s="52"/>
      <c r="F772" s="52"/>
      <c r="G772" s="52"/>
      <c r="H772" s="52"/>
      <c r="I772" s="52"/>
      <c r="J772" s="52"/>
      <c r="K772" s="52"/>
      <c r="L772" s="52"/>
      <c r="M772" s="52"/>
      <c r="N772" s="52"/>
      <c r="O772" s="52"/>
      <c r="P772" s="52"/>
      <c r="Q772" s="52"/>
      <c r="R772" s="52"/>
      <c r="S772" s="52"/>
      <c r="T772" s="17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</row>
    <row r="773" spans="1:40" ht="60" customHeight="1" x14ac:dyDescent="0.35">
      <c r="A773" s="14"/>
      <c r="B773" s="11"/>
      <c r="C773" s="11"/>
      <c r="D773" s="11"/>
      <c r="E773" s="53"/>
      <c r="F773" s="53"/>
      <c r="G773" s="53"/>
      <c r="H773" s="53"/>
      <c r="I773" s="53"/>
      <c r="J773" s="53"/>
      <c r="K773" s="53"/>
      <c r="L773" s="53"/>
      <c r="M773" s="53"/>
      <c r="N773" s="53"/>
      <c r="O773" s="53"/>
      <c r="P773" s="53"/>
      <c r="Q773" s="53"/>
      <c r="R773" s="53"/>
      <c r="S773" s="53"/>
      <c r="T773" s="17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</row>
    <row r="774" spans="1:40" ht="60" customHeight="1" x14ac:dyDescent="0.35">
      <c r="A774" s="13"/>
      <c r="B774" s="10"/>
      <c r="C774" s="10"/>
      <c r="D774" s="10"/>
      <c r="E774" s="52"/>
      <c r="F774" s="52"/>
      <c r="G774" s="52"/>
      <c r="H774" s="52"/>
      <c r="I774" s="52"/>
      <c r="J774" s="52"/>
      <c r="K774" s="52"/>
      <c r="L774" s="52"/>
      <c r="M774" s="52"/>
      <c r="N774" s="52"/>
      <c r="O774" s="52"/>
      <c r="P774" s="52"/>
      <c r="Q774" s="52"/>
      <c r="R774" s="52"/>
      <c r="S774" s="52"/>
      <c r="T774" s="17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</row>
    <row r="775" spans="1:40" ht="60" customHeight="1" x14ac:dyDescent="0.35">
      <c r="A775" s="14"/>
      <c r="B775" s="1"/>
      <c r="C775" s="1"/>
      <c r="D775" s="1"/>
      <c r="E775" s="50"/>
      <c r="F775" s="50"/>
      <c r="G775" s="50"/>
      <c r="H775" s="50"/>
      <c r="I775" s="50"/>
      <c r="J775" s="50"/>
      <c r="K775" s="50"/>
      <c r="L775" s="50"/>
      <c r="M775" s="50"/>
      <c r="N775" s="50"/>
      <c r="O775" s="50"/>
      <c r="P775" s="50"/>
      <c r="Q775" s="50"/>
      <c r="R775" s="50"/>
      <c r="S775" s="50"/>
      <c r="T775" s="17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</row>
    <row r="776" spans="1:40" ht="60" customHeight="1" x14ac:dyDescent="0.35">
      <c r="A776" s="13"/>
      <c r="B776" s="10"/>
      <c r="C776" s="10"/>
      <c r="D776" s="10"/>
      <c r="E776" s="52"/>
      <c r="F776" s="52"/>
      <c r="G776" s="52"/>
      <c r="H776" s="52"/>
      <c r="I776" s="52"/>
      <c r="J776" s="52"/>
      <c r="K776" s="52"/>
      <c r="L776" s="52"/>
      <c r="M776" s="52"/>
      <c r="N776" s="52"/>
      <c r="O776" s="52"/>
      <c r="P776" s="52"/>
      <c r="Q776" s="52"/>
      <c r="R776" s="52"/>
      <c r="S776" s="52"/>
      <c r="T776" s="17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</row>
    <row r="777" spans="1:40" ht="60" customHeight="1" x14ac:dyDescent="0.35">
      <c r="A777" s="14"/>
      <c r="B777" s="1"/>
      <c r="C777" s="1"/>
      <c r="D777" s="1"/>
      <c r="E777" s="50"/>
      <c r="F777" s="50"/>
      <c r="G777" s="50"/>
      <c r="H777" s="50"/>
      <c r="I777" s="50"/>
      <c r="J777" s="50"/>
      <c r="K777" s="50"/>
      <c r="L777" s="50"/>
      <c r="M777" s="50"/>
      <c r="N777" s="50"/>
      <c r="O777" s="50"/>
      <c r="P777" s="50"/>
      <c r="Q777" s="50"/>
      <c r="R777" s="50"/>
      <c r="S777" s="50"/>
      <c r="T777" s="17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</row>
    <row r="778" spans="1:40" ht="60" customHeight="1" x14ac:dyDescent="0.35">
      <c r="A778" s="13"/>
      <c r="B778" s="10"/>
      <c r="C778" s="10"/>
      <c r="D778" s="10"/>
      <c r="E778" s="52"/>
      <c r="F778" s="52"/>
      <c r="G778" s="52"/>
      <c r="H778" s="52"/>
      <c r="I778" s="52"/>
      <c r="J778" s="52"/>
      <c r="K778" s="52"/>
      <c r="L778" s="52"/>
      <c r="M778" s="52"/>
      <c r="N778" s="52"/>
      <c r="O778" s="52"/>
      <c r="P778" s="52"/>
      <c r="Q778" s="52"/>
      <c r="R778" s="52"/>
      <c r="S778" s="52"/>
      <c r="T778" s="17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</row>
    <row r="779" spans="1:40" ht="60" customHeight="1" x14ac:dyDescent="0.35">
      <c r="A779" s="14"/>
      <c r="B779" s="11"/>
      <c r="C779" s="11"/>
      <c r="D779" s="11"/>
      <c r="E779" s="53"/>
      <c r="F779" s="53"/>
      <c r="G779" s="53"/>
      <c r="H779" s="53"/>
      <c r="I779" s="53"/>
      <c r="J779" s="53"/>
      <c r="K779" s="53"/>
      <c r="L779" s="53"/>
      <c r="M779" s="53"/>
      <c r="N779" s="53"/>
      <c r="O779" s="53"/>
      <c r="P779" s="53"/>
      <c r="Q779" s="53"/>
      <c r="R779" s="53"/>
      <c r="S779" s="53"/>
      <c r="T779" s="17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</row>
    <row r="780" spans="1:40" ht="60" customHeight="1" x14ac:dyDescent="0.35">
      <c r="A780" s="13"/>
      <c r="B780" s="10"/>
      <c r="C780" s="10"/>
      <c r="D780" s="10"/>
      <c r="E780" s="52"/>
      <c r="F780" s="52"/>
      <c r="G780" s="52"/>
      <c r="H780" s="52"/>
      <c r="I780" s="52"/>
      <c r="J780" s="52"/>
      <c r="K780" s="52"/>
      <c r="L780" s="52"/>
      <c r="M780" s="52"/>
      <c r="N780" s="52"/>
      <c r="O780" s="52"/>
      <c r="P780" s="52"/>
      <c r="Q780" s="52"/>
      <c r="R780" s="52"/>
      <c r="S780" s="52"/>
      <c r="T780" s="17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</row>
    <row r="781" spans="1:40" ht="60" customHeight="1" x14ac:dyDescent="0.35">
      <c r="A781" s="14"/>
      <c r="B781" s="11"/>
      <c r="C781" s="11"/>
      <c r="D781" s="11"/>
      <c r="E781" s="53"/>
      <c r="F781" s="53"/>
      <c r="G781" s="53"/>
      <c r="H781" s="53"/>
      <c r="I781" s="53"/>
      <c r="J781" s="53"/>
      <c r="K781" s="53"/>
      <c r="L781" s="53"/>
      <c r="M781" s="53"/>
      <c r="N781" s="53"/>
      <c r="O781" s="53"/>
      <c r="P781" s="53"/>
      <c r="Q781" s="53"/>
      <c r="R781" s="53"/>
      <c r="S781" s="53"/>
      <c r="T781" s="17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</row>
    <row r="782" spans="1:40" ht="60" customHeight="1" x14ac:dyDescent="0.35">
      <c r="A782" s="13"/>
      <c r="B782" s="10"/>
      <c r="C782" s="10"/>
      <c r="D782" s="10"/>
      <c r="E782" s="52"/>
      <c r="F782" s="52"/>
      <c r="G782" s="52"/>
      <c r="H782" s="52"/>
      <c r="I782" s="52"/>
      <c r="J782" s="52"/>
      <c r="K782" s="52"/>
      <c r="L782" s="52"/>
      <c r="M782" s="52"/>
      <c r="N782" s="52"/>
      <c r="O782" s="52"/>
      <c r="P782" s="52"/>
      <c r="Q782" s="52"/>
      <c r="R782" s="52"/>
      <c r="S782" s="52"/>
      <c r="T782" s="17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</row>
    <row r="783" spans="1:40" ht="60" customHeight="1" x14ac:dyDescent="0.35">
      <c r="A783" s="14"/>
      <c r="B783" s="11"/>
      <c r="C783" s="11"/>
      <c r="D783" s="11"/>
      <c r="E783" s="53"/>
      <c r="F783" s="53"/>
      <c r="G783" s="53"/>
      <c r="H783" s="53"/>
      <c r="I783" s="53"/>
      <c r="J783" s="53"/>
      <c r="K783" s="53"/>
      <c r="L783" s="53"/>
      <c r="M783" s="53"/>
      <c r="N783" s="53"/>
      <c r="O783" s="53"/>
      <c r="P783" s="53"/>
      <c r="Q783" s="53"/>
      <c r="R783" s="53"/>
      <c r="S783" s="53"/>
      <c r="T783" s="17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</row>
    <row r="784" spans="1:40" ht="60" customHeight="1" x14ac:dyDescent="0.35">
      <c r="A784" s="13"/>
      <c r="B784" s="10"/>
      <c r="C784" s="10"/>
      <c r="D784" s="10"/>
      <c r="E784" s="52"/>
      <c r="F784" s="52"/>
      <c r="G784" s="52"/>
      <c r="H784" s="52"/>
      <c r="I784" s="52"/>
      <c r="J784" s="52"/>
      <c r="K784" s="52"/>
      <c r="L784" s="52"/>
      <c r="M784" s="52"/>
      <c r="N784" s="52"/>
      <c r="O784" s="52"/>
      <c r="P784" s="52"/>
      <c r="Q784" s="52"/>
      <c r="R784" s="52"/>
      <c r="S784" s="52"/>
      <c r="T784" s="17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</row>
    <row r="785" spans="1:40" ht="60" customHeight="1" x14ac:dyDescent="0.35">
      <c r="A785" s="14"/>
      <c r="B785" s="11"/>
      <c r="C785" s="11"/>
      <c r="D785" s="11"/>
      <c r="E785" s="53"/>
      <c r="F785" s="53"/>
      <c r="G785" s="53"/>
      <c r="H785" s="53"/>
      <c r="I785" s="53"/>
      <c r="J785" s="53"/>
      <c r="K785" s="53"/>
      <c r="L785" s="53"/>
      <c r="M785" s="53"/>
      <c r="N785" s="53"/>
      <c r="O785" s="53"/>
      <c r="P785" s="53"/>
      <c r="Q785" s="53"/>
      <c r="R785" s="53"/>
      <c r="S785" s="53"/>
      <c r="T785" s="17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</row>
    <row r="786" spans="1:40" ht="60" customHeight="1" x14ac:dyDescent="0.35">
      <c r="A786" s="13"/>
      <c r="B786" s="10"/>
      <c r="C786" s="10"/>
      <c r="D786" s="10"/>
      <c r="E786" s="52"/>
      <c r="F786" s="52"/>
      <c r="G786" s="52"/>
      <c r="H786" s="52"/>
      <c r="I786" s="52"/>
      <c r="J786" s="52"/>
      <c r="K786" s="52"/>
      <c r="L786" s="52"/>
      <c r="M786" s="52"/>
      <c r="N786" s="52"/>
      <c r="O786" s="52"/>
      <c r="P786" s="52"/>
      <c r="Q786" s="52"/>
      <c r="R786" s="52"/>
      <c r="S786" s="52"/>
      <c r="T786" s="17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</row>
    <row r="787" spans="1:40" ht="60" customHeight="1" x14ac:dyDescent="0.35">
      <c r="A787" s="14"/>
      <c r="B787" s="1"/>
      <c r="C787" s="1"/>
      <c r="D787" s="1"/>
      <c r="E787" s="50"/>
      <c r="F787" s="50"/>
      <c r="G787" s="50"/>
      <c r="H787" s="50"/>
      <c r="I787" s="50"/>
      <c r="J787" s="50"/>
      <c r="K787" s="50"/>
      <c r="L787" s="50"/>
      <c r="M787" s="50"/>
      <c r="N787" s="50"/>
      <c r="O787" s="50"/>
      <c r="P787" s="50"/>
      <c r="Q787" s="50"/>
      <c r="R787" s="50"/>
      <c r="S787" s="50"/>
      <c r="T787" s="17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</row>
    <row r="788" spans="1:40" ht="60" customHeight="1" x14ac:dyDescent="0.35">
      <c r="A788" s="13"/>
      <c r="B788" s="10"/>
      <c r="C788" s="10"/>
      <c r="D788" s="10"/>
      <c r="E788" s="52"/>
      <c r="F788" s="52"/>
      <c r="G788" s="52"/>
      <c r="H788" s="52"/>
      <c r="I788" s="52"/>
      <c r="J788" s="52"/>
      <c r="K788" s="52"/>
      <c r="L788" s="52"/>
      <c r="M788" s="52"/>
      <c r="N788" s="52"/>
      <c r="O788" s="52"/>
      <c r="P788" s="52"/>
      <c r="Q788" s="52"/>
      <c r="R788" s="52"/>
      <c r="S788" s="52"/>
      <c r="T788" s="17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</row>
    <row r="789" spans="1:40" ht="60" customHeight="1" x14ac:dyDescent="0.35">
      <c r="A789" s="14"/>
      <c r="B789" s="1"/>
      <c r="C789" s="1"/>
      <c r="D789" s="1"/>
      <c r="E789" s="50"/>
      <c r="F789" s="50"/>
      <c r="G789" s="50"/>
      <c r="H789" s="50"/>
      <c r="I789" s="50"/>
      <c r="J789" s="50"/>
      <c r="K789" s="50"/>
      <c r="L789" s="50"/>
      <c r="M789" s="50"/>
      <c r="N789" s="50"/>
      <c r="O789" s="50"/>
      <c r="P789" s="50"/>
      <c r="Q789" s="50"/>
      <c r="R789" s="50"/>
      <c r="S789" s="50"/>
      <c r="T789" s="17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</row>
    <row r="790" spans="1:40" ht="60" customHeight="1" x14ac:dyDescent="0.35">
      <c r="A790" s="13"/>
      <c r="B790" s="10"/>
      <c r="C790" s="10"/>
      <c r="D790" s="10"/>
      <c r="E790" s="52"/>
      <c r="F790" s="52"/>
      <c r="G790" s="52"/>
      <c r="H790" s="52"/>
      <c r="I790" s="52"/>
      <c r="J790" s="52"/>
      <c r="K790" s="52"/>
      <c r="L790" s="52"/>
      <c r="M790" s="52"/>
      <c r="N790" s="52"/>
      <c r="O790" s="52"/>
      <c r="P790" s="52"/>
      <c r="Q790" s="52"/>
      <c r="R790" s="52"/>
      <c r="S790" s="52"/>
      <c r="T790" s="17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</row>
    <row r="791" spans="1:40" ht="60" customHeight="1" x14ac:dyDescent="0.35">
      <c r="A791" s="14"/>
      <c r="B791" s="11"/>
      <c r="C791" s="11"/>
      <c r="D791" s="11"/>
      <c r="E791" s="53"/>
      <c r="F791" s="53"/>
      <c r="G791" s="53"/>
      <c r="H791" s="53"/>
      <c r="I791" s="53"/>
      <c r="J791" s="53"/>
      <c r="K791" s="53"/>
      <c r="L791" s="53"/>
      <c r="M791" s="53"/>
      <c r="N791" s="53"/>
      <c r="O791" s="53"/>
      <c r="P791" s="53"/>
      <c r="Q791" s="53"/>
      <c r="R791" s="53"/>
      <c r="S791" s="53"/>
      <c r="T791" s="17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</row>
    <row r="792" spans="1:40" ht="60" customHeight="1" x14ac:dyDescent="0.35">
      <c r="A792" s="13"/>
      <c r="B792" s="10"/>
      <c r="C792" s="10"/>
      <c r="D792" s="10"/>
      <c r="E792" s="52"/>
      <c r="F792" s="52"/>
      <c r="G792" s="52"/>
      <c r="H792" s="52"/>
      <c r="I792" s="52"/>
      <c r="J792" s="52"/>
      <c r="K792" s="52"/>
      <c r="L792" s="52"/>
      <c r="M792" s="52"/>
      <c r="N792" s="52"/>
      <c r="O792" s="52"/>
      <c r="P792" s="52"/>
      <c r="Q792" s="52"/>
      <c r="R792" s="52"/>
      <c r="S792" s="52"/>
      <c r="T792" s="17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</row>
    <row r="793" spans="1:40" ht="60" customHeight="1" x14ac:dyDescent="0.35">
      <c r="A793" s="14"/>
      <c r="B793" s="11"/>
      <c r="C793" s="11"/>
      <c r="D793" s="11"/>
      <c r="E793" s="53"/>
      <c r="F793" s="53"/>
      <c r="G793" s="53"/>
      <c r="H793" s="53"/>
      <c r="I793" s="53"/>
      <c r="J793" s="53"/>
      <c r="K793" s="53"/>
      <c r="L793" s="53"/>
      <c r="M793" s="53"/>
      <c r="N793" s="53"/>
      <c r="O793" s="53"/>
      <c r="P793" s="53"/>
      <c r="Q793" s="53"/>
      <c r="R793" s="53"/>
      <c r="S793" s="53"/>
      <c r="T793" s="17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</row>
    <row r="794" spans="1:40" ht="60" customHeight="1" x14ac:dyDescent="0.35">
      <c r="A794" s="13"/>
      <c r="B794" s="10"/>
      <c r="C794" s="10"/>
      <c r="D794" s="10"/>
      <c r="E794" s="52"/>
      <c r="F794" s="52"/>
      <c r="G794" s="52"/>
      <c r="H794" s="52"/>
      <c r="I794" s="52"/>
      <c r="J794" s="52"/>
      <c r="K794" s="52"/>
      <c r="L794" s="52"/>
      <c r="M794" s="52"/>
      <c r="N794" s="52"/>
      <c r="O794" s="52"/>
      <c r="P794" s="52"/>
      <c r="Q794" s="52"/>
      <c r="R794" s="52"/>
      <c r="S794" s="52"/>
      <c r="T794" s="17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</row>
    <row r="795" spans="1:40" ht="60" customHeight="1" x14ac:dyDescent="0.35">
      <c r="A795" s="14"/>
      <c r="B795" s="11"/>
      <c r="C795" s="11"/>
      <c r="D795" s="11"/>
      <c r="E795" s="53"/>
      <c r="F795" s="53"/>
      <c r="G795" s="53"/>
      <c r="H795" s="53"/>
      <c r="I795" s="53"/>
      <c r="J795" s="53"/>
      <c r="K795" s="53"/>
      <c r="L795" s="53"/>
      <c r="M795" s="53"/>
      <c r="N795" s="53"/>
      <c r="O795" s="53"/>
      <c r="P795" s="53"/>
      <c r="Q795" s="53"/>
      <c r="R795" s="53"/>
      <c r="S795" s="53"/>
      <c r="T795" s="17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</row>
    <row r="796" spans="1:40" ht="60" customHeight="1" x14ac:dyDescent="0.35">
      <c r="A796" s="13"/>
      <c r="B796" s="10"/>
      <c r="C796" s="10"/>
      <c r="D796" s="10"/>
      <c r="E796" s="52"/>
      <c r="F796" s="52"/>
      <c r="G796" s="52"/>
      <c r="H796" s="52"/>
      <c r="I796" s="52"/>
      <c r="J796" s="52"/>
      <c r="K796" s="52"/>
      <c r="L796" s="52"/>
      <c r="M796" s="52"/>
      <c r="N796" s="52"/>
      <c r="O796" s="52"/>
      <c r="P796" s="52"/>
      <c r="Q796" s="52"/>
      <c r="R796" s="52"/>
      <c r="S796" s="52"/>
      <c r="T796" s="17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</row>
    <row r="797" spans="1:40" ht="60" customHeight="1" x14ac:dyDescent="0.35">
      <c r="A797" s="14"/>
      <c r="B797" s="1"/>
      <c r="C797" s="1"/>
      <c r="D797" s="1"/>
      <c r="E797" s="50"/>
      <c r="F797" s="50"/>
      <c r="G797" s="50"/>
      <c r="H797" s="50"/>
      <c r="I797" s="50"/>
      <c r="J797" s="50"/>
      <c r="K797" s="50"/>
      <c r="L797" s="50"/>
      <c r="M797" s="50"/>
      <c r="N797" s="50"/>
      <c r="O797" s="50"/>
      <c r="P797" s="50"/>
      <c r="Q797" s="50"/>
      <c r="R797" s="50"/>
      <c r="S797" s="50"/>
      <c r="T797" s="17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</row>
    <row r="798" spans="1:40" ht="60" customHeight="1" x14ac:dyDescent="0.35">
      <c r="A798" s="13"/>
      <c r="B798" s="10"/>
      <c r="C798" s="10"/>
      <c r="D798" s="10"/>
      <c r="E798" s="52"/>
      <c r="F798" s="52"/>
      <c r="G798" s="52"/>
      <c r="H798" s="52"/>
      <c r="I798" s="52"/>
      <c r="J798" s="52"/>
      <c r="K798" s="52"/>
      <c r="L798" s="52"/>
      <c r="M798" s="52"/>
      <c r="N798" s="52"/>
      <c r="O798" s="52"/>
      <c r="P798" s="52"/>
      <c r="Q798" s="52"/>
      <c r="R798" s="52"/>
      <c r="S798" s="52"/>
      <c r="T798" s="17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</row>
    <row r="799" spans="1:40" ht="60" customHeight="1" x14ac:dyDescent="0.35">
      <c r="A799" s="14"/>
      <c r="B799" s="1"/>
      <c r="C799" s="1"/>
      <c r="D799" s="1"/>
      <c r="E799" s="50"/>
      <c r="F799" s="50"/>
      <c r="G799" s="50"/>
      <c r="H799" s="50"/>
      <c r="I799" s="50"/>
      <c r="J799" s="50"/>
      <c r="K799" s="50"/>
      <c r="L799" s="50"/>
      <c r="M799" s="50"/>
      <c r="N799" s="50"/>
      <c r="O799" s="50"/>
      <c r="P799" s="50"/>
      <c r="Q799" s="50"/>
      <c r="R799" s="50"/>
      <c r="S799" s="53"/>
      <c r="T799" s="17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</row>
    <row r="800" spans="1:40" ht="60" customHeight="1" x14ac:dyDescent="0.35">
      <c r="A800" s="13"/>
      <c r="B800" s="10"/>
      <c r="C800" s="10"/>
      <c r="D800" s="10"/>
      <c r="E800" s="52"/>
      <c r="F800" s="52"/>
      <c r="G800" s="52"/>
      <c r="H800" s="52"/>
      <c r="I800" s="52"/>
      <c r="J800" s="52"/>
      <c r="K800" s="52"/>
      <c r="L800" s="52"/>
      <c r="M800" s="52"/>
      <c r="N800" s="52"/>
      <c r="O800" s="52"/>
      <c r="P800" s="52"/>
      <c r="Q800" s="52"/>
      <c r="R800" s="52"/>
      <c r="S800" s="52"/>
      <c r="T800" s="17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</row>
    <row r="801" spans="1:40" ht="60" customHeight="1" x14ac:dyDescent="0.35">
      <c r="A801" s="14"/>
      <c r="B801" s="11"/>
      <c r="C801" s="11"/>
      <c r="D801" s="11"/>
      <c r="E801" s="53"/>
      <c r="F801" s="53"/>
      <c r="G801" s="53"/>
      <c r="H801" s="53"/>
      <c r="I801" s="53"/>
      <c r="J801" s="53"/>
      <c r="K801" s="53"/>
      <c r="L801" s="53"/>
      <c r="M801" s="53"/>
      <c r="N801" s="53"/>
      <c r="O801" s="53"/>
      <c r="P801" s="53"/>
      <c r="Q801" s="53"/>
      <c r="R801" s="53"/>
      <c r="S801" s="53"/>
      <c r="T801" s="17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</row>
    <row r="802" spans="1:40" ht="60" customHeight="1" x14ac:dyDescent="0.35">
      <c r="A802" s="13"/>
      <c r="B802" s="10"/>
      <c r="C802" s="10"/>
      <c r="D802" s="10"/>
      <c r="E802" s="52"/>
      <c r="F802" s="52"/>
      <c r="G802" s="52"/>
      <c r="H802" s="52"/>
      <c r="I802" s="52"/>
      <c r="J802" s="52"/>
      <c r="K802" s="52"/>
      <c r="L802" s="52"/>
      <c r="M802" s="52"/>
      <c r="N802" s="52"/>
      <c r="O802" s="52"/>
      <c r="P802" s="52"/>
      <c r="Q802" s="52"/>
      <c r="R802" s="52"/>
      <c r="S802" s="52"/>
      <c r="T802" s="17"/>
      <c r="U802" s="5" t="s">
        <v>12</v>
      </c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</row>
    <row r="803" spans="1:40" ht="60" customHeight="1" x14ac:dyDescent="0.35">
      <c r="A803" s="14"/>
      <c r="B803" s="11"/>
      <c r="C803" s="11"/>
      <c r="D803" s="11"/>
      <c r="E803" s="53"/>
      <c r="F803" s="53"/>
      <c r="G803" s="53"/>
      <c r="H803" s="53"/>
      <c r="I803" s="53"/>
      <c r="J803" s="53"/>
      <c r="K803" s="53"/>
      <c r="L803" s="53"/>
      <c r="M803" s="53"/>
      <c r="N803" s="53"/>
      <c r="O803" s="53"/>
      <c r="P803" s="53"/>
      <c r="Q803" s="53"/>
      <c r="R803" s="53"/>
      <c r="S803" s="53"/>
      <c r="T803" s="17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</row>
    <row r="804" spans="1:40" ht="60" customHeight="1" x14ac:dyDescent="0.35">
      <c r="A804" s="13"/>
      <c r="B804" s="10"/>
      <c r="C804" s="10"/>
      <c r="D804" s="10"/>
      <c r="E804" s="52"/>
      <c r="F804" s="52"/>
      <c r="G804" s="52"/>
      <c r="H804" s="52"/>
      <c r="I804" s="52"/>
      <c r="J804" s="52"/>
      <c r="K804" s="52"/>
      <c r="L804" s="52"/>
      <c r="M804" s="52"/>
      <c r="N804" s="52"/>
      <c r="O804" s="52"/>
      <c r="P804" s="52"/>
      <c r="Q804" s="52"/>
      <c r="R804" s="52"/>
      <c r="S804" s="52"/>
      <c r="T804" s="17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</row>
    <row r="805" spans="1:40" ht="60" customHeight="1" x14ac:dyDescent="0.35">
      <c r="A805" s="14"/>
      <c r="B805" s="1"/>
      <c r="C805" s="1"/>
      <c r="D805" s="1"/>
      <c r="E805" s="50"/>
      <c r="F805" s="50"/>
      <c r="G805" s="50"/>
      <c r="H805" s="50"/>
      <c r="I805" s="50"/>
      <c r="J805" s="50"/>
      <c r="K805" s="50"/>
      <c r="L805" s="50"/>
      <c r="M805" s="50"/>
      <c r="N805" s="50"/>
      <c r="O805" s="50"/>
      <c r="P805" s="50"/>
      <c r="Q805" s="50"/>
      <c r="R805" s="50"/>
      <c r="S805" s="53"/>
      <c r="T805" s="17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</row>
    <row r="806" spans="1:40" ht="60" customHeight="1" x14ac:dyDescent="0.35">
      <c r="A806" s="13"/>
      <c r="B806" s="10"/>
      <c r="C806" s="10"/>
      <c r="D806" s="10"/>
      <c r="E806" s="52"/>
      <c r="F806" s="52"/>
      <c r="G806" s="52"/>
      <c r="H806" s="52"/>
      <c r="I806" s="52"/>
      <c r="J806" s="52"/>
      <c r="K806" s="52"/>
      <c r="L806" s="52"/>
      <c r="M806" s="52"/>
      <c r="N806" s="52"/>
      <c r="O806" s="52"/>
      <c r="P806" s="52"/>
      <c r="Q806" s="52"/>
      <c r="R806" s="52"/>
      <c r="S806" s="52"/>
      <c r="T806" s="17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</row>
    <row r="807" spans="1:40" ht="60" customHeight="1" x14ac:dyDescent="0.35">
      <c r="A807" s="14"/>
      <c r="B807" s="11"/>
      <c r="C807" s="11"/>
      <c r="D807" s="11"/>
      <c r="E807" s="53"/>
      <c r="F807" s="53"/>
      <c r="G807" s="53"/>
      <c r="H807" s="53"/>
      <c r="I807" s="53"/>
      <c r="J807" s="53"/>
      <c r="K807" s="53"/>
      <c r="L807" s="53"/>
      <c r="M807" s="53"/>
      <c r="N807" s="53"/>
      <c r="O807" s="53"/>
      <c r="P807" s="53"/>
      <c r="Q807" s="53"/>
      <c r="R807" s="53"/>
      <c r="S807" s="53"/>
      <c r="T807" s="17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</row>
    <row r="808" spans="1:40" ht="60" customHeight="1" x14ac:dyDescent="0.35">
      <c r="A808" s="13"/>
      <c r="B808" s="10"/>
      <c r="C808" s="10"/>
      <c r="D808" s="10"/>
      <c r="E808" s="52"/>
      <c r="F808" s="52"/>
      <c r="G808" s="52"/>
      <c r="H808" s="52"/>
      <c r="I808" s="52"/>
      <c r="J808" s="52"/>
      <c r="K808" s="52"/>
      <c r="L808" s="52"/>
      <c r="M808" s="52"/>
      <c r="N808" s="52"/>
      <c r="O808" s="52"/>
      <c r="P808" s="52"/>
      <c r="Q808" s="52"/>
      <c r="R808" s="52"/>
      <c r="S808" s="52"/>
      <c r="T808" s="17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</row>
    <row r="809" spans="1:40" ht="60" customHeight="1" x14ac:dyDescent="0.35">
      <c r="A809" s="14"/>
      <c r="B809" s="11"/>
      <c r="C809" s="11"/>
      <c r="D809" s="11"/>
      <c r="E809" s="53"/>
      <c r="F809" s="53"/>
      <c r="G809" s="53"/>
      <c r="H809" s="53"/>
      <c r="I809" s="53"/>
      <c r="J809" s="53"/>
      <c r="K809" s="53"/>
      <c r="L809" s="53"/>
      <c r="M809" s="53"/>
      <c r="N809" s="53"/>
      <c r="O809" s="53"/>
      <c r="P809" s="53"/>
      <c r="Q809" s="53"/>
      <c r="R809" s="53"/>
      <c r="S809" s="53"/>
      <c r="T809" s="17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</row>
    <row r="810" spans="1:40" ht="60" customHeight="1" x14ac:dyDescent="0.35">
      <c r="A810" s="13"/>
      <c r="B810" s="10"/>
      <c r="C810" s="10"/>
      <c r="D810" s="10"/>
      <c r="E810" s="52"/>
      <c r="F810" s="52"/>
      <c r="G810" s="52"/>
      <c r="H810" s="52"/>
      <c r="I810" s="52"/>
      <c r="J810" s="52"/>
      <c r="K810" s="52"/>
      <c r="L810" s="52"/>
      <c r="M810" s="52"/>
      <c r="N810" s="52"/>
      <c r="O810" s="52"/>
      <c r="P810" s="52"/>
      <c r="Q810" s="52"/>
      <c r="R810" s="52"/>
      <c r="S810" s="52"/>
      <c r="T810" s="17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</row>
    <row r="811" spans="1:40" ht="60" customHeight="1" x14ac:dyDescent="0.35">
      <c r="A811" s="14"/>
      <c r="B811" s="1"/>
      <c r="C811" s="1"/>
      <c r="D811" s="1"/>
      <c r="E811" s="50"/>
      <c r="F811" s="50"/>
      <c r="G811" s="50"/>
      <c r="H811" s="50"/>
      <c r="I811" s="50"/>
      <c r="J811" s="50"/>
      <c r="K811" s="50"/>
      <c r="L811" s="50"/>
      <c r="M811" s="50"/>
      <c r="N811" s="50"/>
      <c r="O811" s="50"/>
      <c r="P811" s="50"/>
      <c r="Q811" s="50"/>
      <c r="R811" s="50"/>
      <c r="S811" s="53"/>
      <c r="T811" s="17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</row>
    <row r="812" spans="1:40" ht="60" customHeight="1" x14ac:dyDescent="0.35">
      <c r="A812" s="13"/>
      <c r="B812" s="10"/>
      <c r="C812" s="10"/>
      <c r="D812" s="10"/>
      <c r="E812" s="52"/>
      <c r="F812" s="52"/>
      <c r="G812" s="52"/>
      <c r="H812" s="52"/>
      <c r="I812" s="52"/>
      <c r="J812" s="52"/>
      <c r="K812" s="52"/>
      <c r="L812" s="52"/>
      <c r="M812" s="52"/>
      <c r="N812" s="52"/>
      <c r="O812" s="52"/>
      <c r="P812" s="52"/>
      <c r="Q812" s="52"/>
      <c r="R812" s="52"/>
      <c r="S812" s="52"/>
      <c r="T812" s="17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</row>
    <row r="813" spans="1:40" ht="60" customHeight="1" x14ac:dyDescent="0.35">
      <c r="A813" s="14"/>
      <c r="B813" s="11"/>
      <c r="C813" s="11"/>
      <c r="D813" s="11"/>
      <c r="E813" s="53"/>
      <c r="F813" s="53"/>
      <c r="G813" s="53"/>
      <c r="H813" s="53"/>
      <c r="I813" s="53"/>
      <c r="J813" s="53"/>
      <c r="K813" s="53"/>
      <c r="L813" s="53"/>
      <c r="M813" s="53"/>
      <c r="N813" s="53"/>
      <c r="O813" s="53"/>
      <c r="P813" s="53"/>
      <c r="Q813" s="53"/>
      <c r="R813" s="53"/>
      <c r="S813" s="53"/>
      <c r="T813" s="17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</row>
    <row r="814" spans="1:40" ht="60" customHeight="1" x14ac:dyDescent="0.35">
      <c r="A814" s="13"/>
      <c r="B814" s="10"/>
      <c r="C814" s="10"/>
      <c r="D814" s="10"/>
      <c r="E814" s="52"/>
      <c r="F814" s="52"/>
      <c r="G814" s="52"/>
      <c r="H814" s="52"/>
      <c r="I814" s="52"/>
      <c r="J814" s="52"/>
      <c r="K814" s="52"/>
      <c r="L814" s="52"/>
      <c r="M814" s="52"/>
      <c r="N814" s="52"/>
      <c r="O814" s="52"/>
      <c r="P814" s="52"/>
      <c r="Q814" s="52"/>
      <c r="R814" s="52"/>
      <c r="S814" s="52"/>
      <c r="T814" s="17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</row>
    <row r="815" spans="1:40" ht="60" customHeight="1" x14ac:dyDescent="0.35">
      <c r="A815" s="14"/>
      <c r="B815" s="11"/>
      <c r="C815" s="11"/>
      <c r="D815" s="11"/>
      <c r="E815" s="53"/>
      <c r="F815" s="53"/>
      <c r="G815" s="53"/>
      <c r="H815" s="53"/>
      <c r="I815" s="53"/>
      <c r="J815" s="53"/>
      <c r="K815" s="53"/>
      <c r="L815" s="53"/>
      <c r="M815" s="53"/>
      <c r="N815" s="53"/>
      <c r="O815" s="53"/>
      <c r="P815" s="53"/>
      <c r="Q815" s="53"/>
      <c r="R815" s="53"/>
      <c r="S815" s="53"/>
      <c r="T815" s="17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</row>
    <row r="816" spans="1:40" ht="60" customHeight="1" x14ac:dyDescent="0.35">
      <c r="A816" s="13"/>
      <c r="B816" s="10"/>
      <c r="C816" s="10"/>
      <c r="D816" s="10"/>
      <c r="E816" s="52"/>
      <c r="F816" s="52"/>
      <c r="G816" s="52"/>
      <c r="H816" s="52"/>
      <c r="I816" s="52"/>
      <c r="J816" s="52"/>
      <c r="K816" s="52"/>
      <c r="L816" s="52"/>
      <c r="M816" s="52"/>
      <c r="N816" s="52"/>
      <c r="O816" s="52"/>
      <c r="P816" s="52"/>
      <c r="Q816" s="52"/>
      <c r="R816" s="52"/>
      <c r="S816" s="52"/>
      <c r="T816" s="17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</row>
    <row r="817" spans="1:40" ht="60" customHeight="1" x14ac:dyDescent="0.35">
      <c r="A817" s="14"/>
      <c r="B817" s="11"/>
      <c r="C817" s="11"/>
      <c r="D817" s="11"/>
      <c r="E817" s="53"/>
      <c r="F817" s="53"/>
      <c r="G817" s="53"/>
      <c r="H817" s="53"/>
      <c r="I817" s="53"/>
      <c r="J817" s="53"/>
      <c r="K817" s="53"/>
      <c r="L817" s="53"/>
      <c r="M817" s="53"/>
      <c r="N817" s="53"/>
      <c r="O817" s="53"/>
      <c r="P817" s="53"/>
      <c r="Q817" s="53"/>
      <c r="R817" s="53"/>
      <c r="S817" s="53"/>
      <c r="T817" s="17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</row>
    <row r="818" spans="1:40" ht="60" customHeight="1" x14ac:dyDescent="0.35">
      <c r="A818" s="13"/>
      <c r="B818" s="10"/>
      <c r="C818" s="10"/>
      <c r="D818" s="10"/>
      <c r="E818" s="52"/>
      <c r="F818" s="52"/>
      <c r="G818" s="52"/>
      <c r="H818" s="52"/>
      <c r="I818" s="52"/>
      <c r="J818" s="52"/>
      <c r="K818" s="52"/>
      <c r="L818" s="52"/>
      <c r="M818" s="52"/>
      <c r="N818" s="52"/>
      <c r="O818" s="52"/>
      <c r="P818" s="52"/>
      <c r="Q818" s="52"/>
      <c r="R818" s="52"/>
      <c r="S818" s="52"/>
      <c r="T818" s="17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</row>
    <row r="819" spans="1:40" ht="60" customHeight="1" x14ac:dyDescent="0.35">
      <c r="A819" s="14"/>
      <c r="B819" s="11"/>
      <c r="C819" s="11"/>
      <c r="D819" s="11"/>
      <c r="E819" s="53"/>
      <c r="F819" s="53"/>
      <c r="G819" s="53"/>
      <c r="H819" s="53"/>
      <c r="I819" s="53"/>
      <c r="J819" s="53"/>
      <c r="K819" s="53"/>
      <c r="L819" s="53"/>
      <c r="M819" s="53"/>
      <c r="N819" s="53"/>
      <c r="O819" s="53"/>
      <c r="P819" s="53"/>
      <c r="Q819" s="53"/>
      <c r="R819" s="53"/>
      <c r="S819" s="53"/>
      <c r="T819" s="17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</row>
    <row r="820" spans="1:40" ht="60" customHeight="1" x14ac:dyDescent="0.35">
      <c r="A820" s="13"/>
      <c r="B820" s="10"/>
      <c r="C820" s="10"/>
      <c r="D820" s="10"/>
      <c r="E820" s="52"/>
      <c r="F820" s="52"/>
      <c r="G820" s="52"/>
      <c r="H820" s="52"/>
      <c r="I820" s="52"/>
      <c r="J820" s="52"/>
      <c r="K820" s="52"/>
      <c r="L820" s="52"/>
      <c r="M820" s="52"/>
      <c r="N820" s="52"/>
      <c r="O820" s="52"/>
      <c r="P820" s="52"/>
      <c r="Q820" s="52"/>
      <c r="R820" s="52"/>
      <c r="S820" s="52"/>
      <c r="T820" s="17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</row>
    <row r="821" spans="1:40" ht="60" customHeight="1" x14ac:dyDescent="0.35">
      <c r="A821" s="14"/>
      <c r="B821" s="11"/>
      <c r="C821" s="11"/>
      <c r="D821" s="11"/>
      <c r="E821" s="53"/>
      <c r="F821" s="53"/>
      <c r="G821" s="53"/>
      <c r="H821" s="53"/>
      <c r="I821" s="53"/>
      <c r="J821" s="53"/>
      <c r="K821" s="53"/>
      <c r="L821" s="53"/>
      <c r="M821" s="53"/>
      <c r="N821" s="53"/>
      <c r="O821" s="53"/>
      <c r="P821" s="53"/>
      <c r="Q821" s="53"/>
      <c r="R821" s="53"/>
      <c r="S821" s="53"/>
      <c r="T821" s="17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</row>
    <row r="822" spans="1:40" ht="60" customHeight="1" x14ac:dyDescent="0.35">
      <c r="A822" s="13"/>
      <c r="B822" s="10"/>
      <c r="C822" s="10"/>
      <c r="D822" s="10"/>
      <c r="E822" s="52"/>
      <c r="F822" s="52"/>
      <c r="G822" s="52"/>
      <c r="H822" s="52"/>
      <c r="I822" s="52"/>
      <c r="J822" s="52"/>
      <c r="K822" s="52"/>
      <c r="L822" s="52"/>
      <c r="M822" s="52"/>
      <c r="N822" s="52"/>
      <c r="O822" s="52"/>
      <c r="P822" s="52"/>
      <c r="Q822" s="52"/>
      <c r="R822" s="52"/>
      <c r="S822" s="52"/>
      <c r="T822" s="17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</row>
    <row r="823" spans="1:40" ht="60" customHeight="1" x14ac:dyDescent="0.35">
      <c r="A823" s="14"/>
      <c r="B823" s="11"/>
      <c r="C823" s="11"/>
      <c r="D823" s="11"/>
      <c r="E823" s="53"/>
      <c r="F823" s="53"/>
      <c r="G823" s="53"/>
      <c r="H823" s="53"/>
      <c r="I823" s="53"/>
      <c r="J823" s="53"/>
      <c r="K823" s="53"/>
      <c r="L823" s="53"/>
      <c r="M823" s="53"/>
      <c r="N823" s="53"/>
      <c r="O823" s="53"/>
      <c r="P823" s="53"/>
      <c r="Q823" s="53"/>
      <c r="R823" s="53"/>
      <c r="S823" s="53"/>
      <c r="T823" s="17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</row>
    <row r="824" spans="1:40" ht="60" customHeight="1" x14ac:dyDescent="0.35">
      <c r="A824" s="13"/>
      <c r="B824" s="10"/>
      <c r="C824" s="10"/>
      <c r="D824" s="10"/>
      <c r="E824" s="52"/>
      <c r="F824" s="52"/>
      <c r="G824" s="52"/>
      <c r="H824" s="52"/>
      <c r="I824" s="52"/>
      <c r="J824" s="52"/>
      <c r="K824" s="52"/>
      <c r="L824" s="52"/>
      <c r="M824" s="52"/>
      <c r="N824" s="52"/>
      <c r="O824" s="52"/>
      <c r="P824" s="52"/>
      <c r="Q824" s="52"/>
      <c r="R824" s="52"/>
      <c r="S824" s="52"/>
      <c r="T824" s="17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</row>
    <row r="825" spans="1:40" ht="60" customHeight="1" x14ac:dyDescent="0.35">
      <c r="A825" s="14"/>
      <c r="B825" s="1"/>
      <c r="C825" s="1"/>
      <c r="D825" s="1"/>
      <c r="E825" s="50"/>
      <c r="F825" s="50"/>
      <c r="G825" s="50"/>
      <c r="H825" s="50"/>
      <c r="I825" s="50"/>
      <c r="J825" s="50"/>
      <c r="K825" s="50"/>
      <c r="L825" s="50"/>
      <c r="M825" s="50"/>
      <c r="N825" s="50"/>
      <c r="O825" s="50"/>
      <c r="P825" s="50"/>
      <c r="Q825" s="50"/>
      <c r="R825" s="50"/>
      <c r="S825" s="53"/>
      <c r="T825" s="17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</row>
    <row r="826" spans="1:40" ht="60" customHeight="1" x14ac:dyDescent="0.35">
      <c r="A826" s="13"/>
      <c r="B826" s="10"/>
      <c r="C826" s="10"/>
      <c r="D826" s="10"/>
      <c r="E826" s="52"/>
      <c r="F826" s="52"/>
      <c r="G826" s="52"/>
      <c r="H826" s="52"/>
      <c r="I826" s="52"/>
      <c r="J826" s="52"/>
      <c r="K826" s="52"/>
      <c r="L826" s="52"/>
      <c r="M826" s="52"/>
      <c r="N826" s="52"/>
      <c r="O826" s="52"/>
      <c r="P826" s="52"/>
      <c r="Q826" s="52"/>
      <c r="R826" s="52"/>
      <c r="S826" s="52"/>
      <c r="T826" s="17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</row>
    <row r="827" spans="1:40" ht="60" customHeight="1" x14ac:dyDescent="0.35">
      <c r="A827" s="14"/>
      <c r="B827" s="11"/>
      <c r="C827" s="11"/>
      <c r="D827" s="11"/>
      <c r="E827" s="53"/>
      <c r="F827" s="53"/>
      <c r="G827" s="53"/>
      <c r="H827" s="53"/>
      <c r="I827" s="53"/>
      <c r="J827" s="53"/>
      <c r="K827" s="53"/>
      <c r="L827" s="53"/>
      <c r="M827" s="53"/>
      <c r="N827" s="53"/>
      <c r="O827" s="53"/>
      <c r="P827" s="53"/>
      <c r="Q827" s="53"/>
      <c r="R827" s="53"/>
      <c r="S827" s="53"/>
      <c r="T827" s="17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</row>
    <row r="828" spans="1:40" ht="60" customHeight="1" x14ac:dyDescent="0.35">
      <c r="A828" s="13"/>
      <c r="B828" s="10"/>
      <c r="C828" s="10"/>
      <c r="D828" s="10"/>
      <c r="E828" s="52"/>
      <c r="F828" s="52"/>
      <c r="G828" s="52"/>
      <c r="H828" s="52"/>
      <c r="I828" s="52"/>
      <c r="J828" s="52"/>
      <c r="K828" s="52"/>
      <c r="L828" s="52"/>
      <c r="M828" s="52"/>
      <c r="N828" s="52"/>
      <c r="O828" s="52"/>
      <c r="P828" s="52"/>
      <c r="Q828" s="52"/>
      <c r="R828" s="52"/>
      <c r="S828" s="52"/>
      <c r="T828" s="17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</row>
    <row r="829" spans="1:40" ht="60" customHeight="1" x14ac:dyDescent="0.35">
      <c r="A829" s="14"/>
      <c r="B829" s="11"/>
      <c r="C829" s="11"/>
      <c r="D829" s="11"/>
      <c r="E829" s="53"/>
      <c r="F829" s="53"/>
      <c r="G829" s="53"/>
      <c r="H829" s="53"/>
      <c r="I829" s="53"/>
      <c r="J829" s="53"/>
      <c r="K829" s="53"/>
      <c r="L829" s="53"/>
      <c r="M829" s="53"/>
      <c r="N829" s="53"/>
      <c r="O829" s="53"/>
      <c r="P829" s="53"/>
      <c r="Q829" s="53"/>
      <c r="R829" s="53"/>
      <c r="S829" s="53"/>
      <c r="T829" s="17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</row>
    <row r="830" spans="1:40" ht="60" customHeight="1" x14ac:dyDescent="0.35">
      <c r="A830" s="13"/>
      <c r="B830" s="10"/>
      <c r="C830" s="10"/>
      <c r="D830" s="10"/>
      <c r="E830" s="52"/>
      <c r="F830" s="52"/>
      <c r="G830" s="52"/>
      <c r="H830" s="52"/>
      <c r="I830" s="52"/>
      <c r="J830" s="52"/>
      <c r="K830" s="52"/>
      <c r="L830" s="52"/>
      <c r="M830" s="52"/>
      <c r="N830" s="52"/>
      <c r="O830" s="52"/>
      <c r="P830" s="52"/>
      <c r="Q830" s="52"/>
      <c r="R830" s="52"/>
      <c r="S830" s="52"/>
      <c r="T830" s="17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</row>
    <row r="831" spans="1:40" ht="60" customHeight="1" x14ac:dyDescent="0.35">
      <c r="A831" s="14"/>
      <c r="B831" s="1"/>
      <c r="C831" s="1"/>
      <c r="D831" s="1"/>
      <c r="E831" s="50"/>
      <c r="F831" s="50"/>
      <c r="G831" s="50"/>
      <c r="H831" s="50"/>
      <c r="I831" s="50"/>
      <c r="J831" s="50"/>
      <c r="K831" s="50"/>
      <c r="L831" s="50"/>
      <c r="M831" s="50"/>
      <c r="N831" s="50"/>
      <c r="O831" s="50"/>
      <c r="P831" s="50"/>
      <c r="Q831" s="50"/>
      <c r="R831" s="50"/>
      <c r="S831" s="50"/>
      <c r="T831" s="17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</row>
    <row r="832" spans="1:40" ht="60" customHeight="1" x14ac:dyDescent="0.35">
      <c r="A832" s="13"/>
      <c r="B832" s="10"/>
      <c r="C832" s="10"/>
      <c r="D832" s="10"/>
      <c r="E832" s="52"/>
      <c r="F832" s="52"/>
      <c r="G832" s="52"/>
      <c r="H832" s="52"/>
      <c r="I832" s="52"/>
      <c r="J832" s="52"/>
      <c r="K832" s="52"/>
      <c r="L832" s="52"/>
      <c r="M832" s="52"/>
      <c r="N832" s="52"/>
      <c r="O832" s="52"/>
      <c r="P832" s="52"/>
      <c r="Q832" s="52"/>
      <c r="R832" s="52"/>
      <c r="S832" s="52"/>
      <c r="T832" s="17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</row>
    <row r="833" spans="1:40" ht="60" customHeight="1" x14ac:dyDescent="0.35">
      <c r="A833" s="14"/>
      <c r="B833" s="1"/>
      <c r="C833" s="1"/>
      <c r="D833" s="1"/>
      <c r="E833" s="50"/>
      <c r="F833" s="50"/>
      <c r="G833" s="50"/>
      <c r="H833" s="50"/>
      <c r="I833" s="50"/>
      <c r="J833" s="50"/>
      <c r="K833" s="50"/>
      <c r="L833" s="50"/>
      <c r="M833" s="50"/>
      <c r="N833" s="50"/>
      <c r="O833" s="50"/>
      <c r="P833" s="50"/>
      <c r="Q833" s="50"/>
      <c r="R833" s="50"/>
      <c r="S833" s="50"/>
      <c r="T833" s="17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</row>
    <row r="834" spans="1:40" ht="60" customHeight="1" x14ac:dyDescent="0.35">
      <c r="A834" s="13"/>
      <c r="B834" s="10"/>
      <c r="C834" s="10"/>
      <c r="D834" s="10"/>
      <c r="E834" s="52"/>
      <c r="F834" s="52"/>
      <c r="G834" s="52"/>
      <c r="H834" s="52"/>
      <c r="I834" s="52"/>
      <c r="J834" s="52"/>
      <c r="K834" s="52"/>
      <c r="L834" s="52"/>
      <c r="M834" s="52"/>
      <c r="N834" s="52"/>
      <c r="O834" s="52"/>
      <c r="P834" s="52"/>
      <c r="Q834" s="52"/>
      <c r="R834" s="52"/>
      <c r="S834" s="52"/>
      <c r="T834" s="17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</row>
    <row r="835" spans="1:40" ht="60" customHeight="1" x14ac:dyDescent="0.35">
      <c r="A835" s="14"/>
      <c r="B835" s="11"/>
      <c r="C835" s="11"/>
      <c r="D835" s="11"/>
      <c r="E835" s="53"/>
      <c r="F835" s="53"/>
      <c r="G835" s="53"/>
      <c r="H835" s="53"/>
      <c r="I835" s="53"/>
      <c r="J835" s="53"/>
      <c r="K835" s="53"/>
      <c r="L835" s="53"/>
      <c r="M835" s="53"/>
      <c r="N835" s="53"/>
      <c r="O835" s="53"/>
      <c r="P835" s="53"/>
      <c r="Q835" s="53"/>
      <c r="R835" s="53"/>
      <c r="S835" s="53"/>
      <c r="T835" s="17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</row>
    <row r="836" spans="1:40" ht="60" customHeight="1" x14ac:dyDescent="0.35">
      <c r="A836" s="13"/>
      <c r="B836" s="10"/>
      <c r="C836" s="10"/>
      <c r="D836" s="10"/>
      <c r="E836" s="52"/>
      <c r="F836" s="52"/>
      <c r="G836" s="52"/>
      <c r="H836" s="52"/>
      <c r="I836" s="52"/>
      <c r="J836" s="52"/>
      <c r="K836" s="52"/>
      <c r="L836" s="52"/>
      <c r="M836" s="52"/>
      <c r="N836" s="52"/>
      <c r="O836" s="52"/>
      <c r="P836" s="52"/>
      <c r="Q836" s="52"/>
      <c r="R836" s="52"/>
      <c r="S836" s="52"/>
      <c r="T836" s="17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</row>
    <row r="837" spans="1:40" ht="60" customHeight="1" x14ac:dyDescent="0.35">
      <c r="A837" s="14"/>
      <c r="B837" s="11"/>
      <c r="C837" s="11"/>
      <c r="D837" s="11"/>
      <c r="E837" s="53"/>
      <c r="F837" s="53"/>
      <c r="G837" s="53"/>
      <c r="H837" s="53"/>
      <c r="I837" s="53"/>
      <c r="J837" s="53"/>
      <c r="K837" s="53"/>
      <c r="L837" s="53"/>
      <c r="M837" s="53"/>
      <c r="N837" s="53"/>
      <c r="O837" s="53"/>
      <c r="P837" s="53"/>
      <c r="Q837" s="53"/>
      <c r="R837" s="53"/>
      <c r="S837" s="53"/>
      <c r="T837" s="17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</row>
    <row r="838" spans="1:40" ht="60" customHeight="1" x14ac:dyDescent="0.35">
      <c r="A838" s="13"/>
      <c r="B838" s="10"/>
      <c r="C838" s="10"/>
      <c r="D838" s="10"/>
      <c r="E838" s="52"/>
      <c r="F838" s="52"/>
      <c r="G838" s="52"/>
      <c r="H838" s="52"/>
      <c r="I838" s="52"/>
      <c r="J838" s="52"/>
      <c r="K838" s="52"/>
      <c r="L838" s="52"/>
      <c r="M838" s="52"/>
      <c r="N838" s="52"/>
      <c r="O838" s="52"/>
      <c r="P838" s="52"/>
      <c r="Q838" s="52"/>
      <c r="R838" s="52"/>
      <c r="S838" s="52"/>
      <c r="T838" s="17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</row>
    <row r="839" spans="1:40" ht="60" customHeight="1" x14ac:dyDescent="0.35">
      <c r="A839" s="14"/>
      <c r="B839" s="1"/>
      <c r="C839" s="1"/>
      <c r="D839" s="1"/>
      <c r="E839" s="50"/>
      <c r="F839" s="50"/>
      <c r="G839" s="50"/>
      <c r="H839" s="50"/>
      <c r="I839" s="50"/>
      <c r="J839" s="50"/>
      <c r="K839" s="50"/>
      <c r="L839" s="50"/>
      <c r="M839" s="50"/>
      <c r="N839" s="50"/>
      <c r="O839" s="50"/>
      <c r="P839" s="50"/>
      <c r="Q839" s="50"/>
      <c r="R839" s="50"/>
      <c r="S839" s="50"/>
      <c r="T839" s="17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</row>
    <row r="840" spans="1:40" ht="60" customHeight="1" x14ac:dyDescent="0.35">
      <c r="A840" s="13"/>
      <c r="B840" s="10"/>
      <c r="C840" s="10"/>
      <c r="D840" s="10"/>
      <c r="E840" s="52"/>
      <c r="F840" s="52"/>
      <c r="G840" s="52"/>
      <c r="H840" s="52"/>
      <c r="I840" s="52"/>
      <c r="J840" s="52"/>
      <c r="K840" s="52"/>
      <c r="L840" s="52"/>
      <c r="M840" s="52"/>
      <c r="N840" s="52"/>
      <c r="O840" s="52"/>
      <c r="P840" s="52"/>
      <c r="Q840" s="52"/>
      <c r="R840" s="52"/>
      <c r="S840" s="52"/>
      <c r="T840" s="17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</row>
    <row r="841" spans="1:40" ht="60" customHeight="1" x14ac:dyDescent="0.35">
      <c r="A841" s="14"/>
      <c r="B841" s="1"/>
      <c r="C841" s="1"/>
      <c r="D841" s="1"/>
      <c r="E841" s="50"/>
      <c r="F841" s="50"/>
      <c r="G841" s="50"/>
      <c r="H841" s="50"/>
      <c r="I841" s="50"/>
      <c r="J841" s="50"/>
      <c r="K841" s="50"/>
      <c r="L841" s="50"/>
      <c r="M841" s="50"/>
      <c r="N841" s="50"/>
      <c r="O841" s="50"/>
      <c r="P841" s="50"/>
      <c r="Q841" s="50"/>
      <c r="R841" s="50"/>
      <c r="S841" s="50"/>
      <c r="T841" s="17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</row>
    <row r="842" spans="1:40" ht="60" customHeight="1" x14ac:dyDescent="0.35">
      <c r="A842" s="13"/>
      <c r="B842" s="10"/>
      <c r="C842" s="10"/>
      <c r="D842" s="10"/>
      <c r="E842" s="52"/>
      <c r="F842" s="52"/>
      <c r="G842" s="52"/>
      <c r="H842" s="52"/>
      <c r="I842" s="52"/>
      <c r="J842" s="52"/>
      <c r="K842" s="52"/>
      <c r="L842" s="52"/>
      <c r="M842" s="52"/>
      <c r="N842" s="52"/>
      <c r="O842" s="52"/>
      <c r="P842" s="52"/>
      <c r="Q842" s="52"/>
      <c r="R842" s="52"/>
      <c r="S842" s="52"/>
      <c r="T842" s="17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</row>
    <row r="843" spans="1:40" ht="60" customHeight="1" x14ac:dyDescent="0.35">
      <c r="A843" s="14"/>
      <c r="B843" s="1"/>
      <c r="C843" s="1"/>
      <c r="D843" s="1"/>
      <c r="E843" s="50"/>
      <c r="F843" s="50"/>
      <c r="G843" s="50"/>
      <c r="H843" s="50"/>
      <c r="I843" s="50"/>
      <c r="J843" s="50"/>
      <c r="K843" s="50"/>
      <c r="L843" s="50"/>
      <c r="M843" s="50"/>
      <c r="N843" s="50"/>
      <c r="O843" s="50"/>
      <c r="P843" s="50"/>
      <c r="Q843" s="50"/>
      <c r="R843" s="50"/>
      <c r="S843" s="50"/>
      <c r="T843" s="17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</row>
    <row r="844" spans="1:40" ht="60" customHeight="1" x14ac:dyDescent="0.35">
      <c r="A844" s="13"/>
      <c r="B844" s="10"/>
      <c r="C844" s="10"/>
      <c r="D844" s="10"/>
      <c r="E844" s="52"/>
      <c r="F844" s="52"/>
      <c r="G844" s="52"/>
      <c r="H844" s="52"/>
      <c r="I844" s="52"/>
      <c r="J844" s="52"/>
      <c r="K844" s="52"/>
      <c r="L844" s="52"/>
      <c r="M844" s="52"/>
      <c r="N844" s="52"/>
      <c r="O844" s="52"/>
      <c r="P844" s="52"/>
      <c r="Q844" s="52"/>
      <c r="R844" s="52"/>
      <c r="S844" s="52"/>
      <c r="T844" s="17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</row>
    <row r="845" spans="1:40" ht="60" customHeight="1" x14ac:dyDescent="0.35">
      <c r="A845" s="14"/>
      <c r="B845" s="1"/>
      <c r="C845" s="1"/>
      <c r="D845" s="1"/>
      <c r="E845" s="50"/>
      <c r="F845" s="50"/>
      <c r="G845" s="50"/>
      <c r="H845" s="50"/>
      <c r="I845" s="50"/>
      <c r="J845" s="50"/>
      <c r="K845" s="50"/>
      <c r="L845" s="50"/>
      <c r="M845" s="50"/>
      <c r="N845" s="50"/>
      <c r="O845" s="50"/>
      <c r="P845" s="50"/>
      <c r="Q845" s="50"/>
      <c r="R845" s="50"/>
      <c r="S845" s="50"/>
      <c r="T845" s="17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</row>
    <row r="846" spans="1:40" ht="60" customHeight="1" x14ac:dyDescent="0.35">
      <c r="A846" s="13"/>
      <c r="B846" s="10"/>
      <c r="C846" s="10"/>
      <c r="D846" s="10"/>
      <c r="E846" s="52"/>
      <c r="F846" s="52"/>
      <c r="G846" s="52"/>
      <c r="H846" s="52"/>
      <c r="I846" s="52"/>
      <c r="J846" s="52"/>
      <c r="K846" s="52"/>
      <c r="L846" s="52"/>
      <c r="M846" s="52"/>
      <c r="N846" s="52"/>
      <c r="O846" s="52"/>
      <c r="P846" s="52"/>
      <c r="Q846" s="52"/>
      <c r="R846" s="52"/>
      <c r="S846" s="52"/>
      <c r="T846" s="17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</row>
    <row r="847" spans="1:40" ht="60" customHeight="1" x14ac:dyDescent="0.35">
      <c r="A847" s="14"/>
      <c r="B847" s="1"/>
      <c r="C847" s="1"/>
      <c r="D847" s="1"/>
      <c r="E847" s="50"/>
      <c r="F847" s="50"/>
      <c r="G847" s="50"/>
      <c r="H847" s="50"/>
      <c r="I847" s="50"/>
      <c r="J847" s="50"/>
      <c r="K847" s="50"/>
      <c r="L847" s="50"/>
      <c r="M847" s="50"/>
      <c r="N847" s="50"/>
      <c r="O847" s="50"/>
      <c r="P847" s="50"/>
      <c r="Q847" s="50"/>
      <c r="R847" s="50"/>
      <c r="S847" s="50"/>
      <c r="T847" s="17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</row>
    <row r="848" spans="1:40" ht="60" customHeight="1" x14ac:dyDescent="0.35">
      <c r="A848" s="13"/>
      <c r="B848" s="10"/>
      <c r="C848" s="10"/>
      <c r="D848" s="10"/>
      <c r="E848" s="52"/>
      <c r="F848" s="52"/>
      <c r="G848" s="52"/>
      <c r="H848" s="52"/>
      <c r="I848" s="52"/>
      <c r="J848" s="52"/>
      <c r="K848" s="52"/>
      <c r="L848" s="52"/>
      <c r="M848" s="52"/>
      <c r="N848" s="52"/>
      <c r="O848" s="52"/>
      <c r="P848" s="52"/>
      <c r="Q848" s="52"/>
      <c r="R848" s="52"/>
      <c r="S848" s="52"/>
      <c r="T848" s="17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</row>
    <row r="849" spans="1:40" ht="60" customHeight="1" x14ac:dyDescent="0.35">
      <c r="A849" s="14"/>
      <c r="B849" s="11"/>
      <c r="C849" s="11"/>
      <c r="D849" s="11"/>
      <c r="E849" s="53"/>
      <c r="F849" s="53"/>
      <c r="G849" s="53"/>
      <c r="H849" s="53"/>
      <c r="I849" s="53"/>
      <c r="J849" s="53"/>
      <c r="K849" s="53"/>
      <c r="L849" s="53"/>
      <c r="M849" s="53"/>
      <c r="N849" s="53"/>
      <c r="O849" s="53"/>
      <c r="P849" s="53"/>
      <c r="Q849" s="53"/>
      <c r="R849" s="53"/>
      <c r="S849" s="53"/>
      <c r="T849" s="17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</row>
    <row r="850" spans="1:40" ht="60" customHeight="1" x14ac:dyDescent="0.35">
      <c r="A850" s="13"/>
      <c r="B850" s="10"/>
      <c r="C850" s="10"/>
      <c r="D850" s="10"/>
      <c r="E850" s="52"/>
      <c r="F850" s="52"/>
      <c r="G850" s="52"/>
      <c r="H850" s="52"/>
      <c r="I850" s="52"/>
      <c r="J850" s="52"/>
      <c r="K850" s="52"/>
      <c r="L850" s="52"/>
      <c r="M850" s="52"/>
      <c r="N850" s="52"/>
      <c r="O850" s="52"/>
      <c r="P850" s="52"/>
      <c r="Q850" s="52"/>
      <c r="R850" s="52"/>
      <c r="S850" s="52"/>
      <c r="T850" s="17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</row>
    <row r="851" spans="1:40" ht="60" customHeight="1" x14ac:dyDescent="0.35">
      <c r="A851" s="14"/>
      <c r="B851" s="1"/>
      <c r="C851" s="1"/>
      <c r="D851" s="1"/>
      <c r="E851" s="50"/>
      <c r="F851" s="50"/>
      <c r="G851" s="50"/>
      <c r="H851" s="50"/>
      <c r="I851" s="50"/>
      <c r="J851" s="50"/>
      <c r="K851" s="50"/>
      <c r="L851" s="50"/>
      <c r="M851" s="50"/>
      <c r="N851" s="50"/>
      <c r="O851" s="50"/>
      <c r="P851" s="50"/>
      <c r="Q851" s="50"/>
      <c r="R851" s="50"/>
      <c r="S851" s="50"/>
      <c r="T851" s="17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</row>
    <row r="852" spans="1:40" ht="60" customHeight="1" x14ac:dyDescent="0.35">
      <c r="A852" s="13"/>
      <c r="B852" s="10"/>
      <c r="C852" s="10"/>
      <c r="D852" s="10"/>
      <c r="E852" s="52"/>
      <c r="F852" s="52"/>
      <c r="G852" s="52"/>
      <c r="H852" s="52"/>
      <c r="I852" s="52"/>
      <c r="J852" s="52"/>
      <c r="K852" s="52"/>
      <c r="L852" s="52"/>
      <c r="M852" s="52"/>
      <c r="N852" s="52"/>
      <c r="O852" s="52"/>
      <c r="P852" s="52"/>
      <c r="Q852" s="52"/>
      <c r="R852" s="52"/>
      <c r="S852" s="52"/>
      <c r="T852" s="17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</row>
    <row r="853" spans="1:40" ht="60" customHeight="1" x14ac:dyDescent="0.35">
      <c r="A853" s="14"/>
      <c r="B853" s="11"/>
      <c r="C853" s="11"/>
      <c r="D853" s="11"/>
      <c r="E853" s="53"/>
      <c r="F853" s="53"/>
      <c r="G853" s="53"/>
      <c r="H853" s="53"/>
      <c r="I853" s="53"/>
      <c r="J853" s="53"/>
      <c r="K853" s="53"/>
      <c r="L853" s="53"/>
      <c r="M853" s="53"/>
      <c r="N853" s="53"/>
      <c r="O853" s="53"/>
      <c r="P853" s="53"/>
      <c r="Q853" s="53"/>
      <c r="R853" s="53"/>
      <c r="S853" s="53"/>
      <c r="T853" s="17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</row>
    <row r="854" spans="1:40" ht="60" customHeight="1" x14ac:dyDescent="0.35">
      <c r="A854" s="13"/>
      <c r="B854" s="10"/>
      <c r="C854" s="10"/>
      <c r="D854" s="10"/>
      <c r="E854" s="52"/>
      <c r="F854" s="52"/>
      <c r="G854" s="52"/>
      <c r="H854" s="52"/>
      <c r="I854" s="52"/>
      <c r="J854" s="52"/>
      <c r="K854" s="52"/>
      <c r="L854" s="52"/>
      <c r="M854" s="52"/>
      <c r="N854" s="52"/>
      <c r="O854" s="52"/>
      <c r="P854" s="52"/>
      <c r="Q854" s="52"/>
      <c r="R854" s="52"/>
      <c r="S854" s="52"/>
      <c r="T854" s="17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</row>
    <row r="855" spans="1:40" ht="60" customHeight="1" x14ac:dyDescent="0.35">
      <c r="A855" s="14"/>
      <c r="B855" s="1"/>
      <c r="C855" s="1"/>
      <c r="D855" s="1"/>
      <c r="E855" s="50"/>
      <c r="F855" s="50"/>
      <c r="G855" s="50"/>
      <c r="H855" s="50"/>
      <c r="I855" s="50"/>
      <c r="J855" s="50"/>
      <c r="K855" s="50"/>
      <c r="L855" s="50"/>
      <c r="M855" s="50"/>
      <c r="N855" s="50"/>
      <c r="O855" s="50"/>
      <c r="P855" s="50"/>
      <c r="Q855" s="50"/>
      <c r="R855" s="50"/>
      <c r="S855" s="50"/>
      <c r="T855" s="17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</row>
    <row r="856" spans="1:40" ht="60" customHeight="1" x14ac:dyDescent="0.35">
      <c r="A856" s="13"/>
      <c r="B856" s="10"/>
      <c r="C856" s="10"/>
      <c r="D856" s="10"/>
      <c r="E856" s="52"/>
      <c r="F856" s="52"/>
      <c r="G856" s="52"/>
      <c r="H856" s="52"/>
      <c r="I856" s="52"/>
      <c r="J856" s="52"/>
      <c r="K856" s="52"/>
      <c r="L856" s="52"/>
      <c r="M856" s="52"/>
      <c r="N856" s="52"/>
      <c r="O856" s="52"/>
      <c r="P856" s="52"/>
      <c r="Q856" s="52"/>
      <c r="R856" s="52"/>
      <c r="S856" s="52"/>
      <c r="T856" s="17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</row>
    <row r="857" spans="1:40" ht="60" customHeight="1" x14ac:dyDescent="0.35">
      <c r="A857" s="14"/>
      <c r="B857" s="11"/>
      <c r="C857" s="11"/>
      <c r="D857" s="11"/>
      <c r="E857" s="53"/>
      <c r="F857" s="53"/>
      <c r="G857" s="53"/>
      <c r="H857" s="53"/>
      <c r="I857" s="53"/>
      <c r="J857" s="53"/>
      <c r="K857" s="53"/>
      <c r="L857" s="53"/>
      <c r="M857" s="53"/>
      <c r="N857" s="53"/>
      <c r="O857" s="53"/>
      <c r="P857" s="53"/>
      <c r="Q857" s="53"/>
      <c r="R857" s="53"/>
      <c r="S857" s="53"/>
      <c r="T857" s="17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</row>
    <row r="858" spans="1:40" ht="60" customHeight="1" x14ac:dyDescent="0.35">
      <c r="A858" s="13"/>
      <c r="B858" s="10"/>
      <c r="C858" s="10"/>
      <c r="D858" s="10"/>
      <c r="E858" s="52"/>
      <c r="F858" s="52"/>
      <c r="G858" s="52"/>
      <c r="H858" s="52"/>
      <c r="I858" s="52"/>
      <c r="J858" s="52"/>
      <c r="K858" s="52"/>
      <c r="L858" s="52"/>
      <c r="M858" s="52"/>
      <c r="N858" s="52"/>
      <c r="O858" s="52"/>
      <c r="P858" s="52"/>
      <c r="Q858" s="52"/>
      <c r="R858" s="52"/>
      <c r="S858" s="52"/>
      <c r="T858" s="17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</row>
    <row r="859" spans="1:40" ht="60" customHeight="1" x14ac:dyDescent="0.35">
      <c r="A859" s="14"/>
      <c r="B859" s="1"/>
      <c r="C859" s="1"/>
      <c r="D859" s="1"/>
      <c r="E859" s="50"/>
      <c r="F859" s="50"/>
      <c r="G859" s="50"/>
      <c r="H859" s="50"/>
      <c r="I859" s="50"/>
      <c r="J859" s="50"/>
      <c r="K859" s="50"/>
      <c r="L859" s="50"/>
      <c r="M859" s="50"/>
      <c r="N859" s="50"/>
      <c r="O859" s="50"/>
      <c r="P859" s="50"/>
      <c r="Q859" s="50"/>
      <c r="R859" s="50"/>
      <c r="S859" s="50"/>
      <c r="T859" s="17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</row>
    <row r="860" spans="1:40" ht="60" customHeight="1" x14ac:dyDescent="0.35">
      <c r="A860" s="13"/>
      <c r="B860" s="10"/>
      <c r="C860" s="10"/>
      <c r="D860" s="10"/>
      <c r="E860" s="52"/>
      <c r="F860" s="52"/>
      <c r="G860" s="52"/>
      <c r="H860" s="52"/>
      <c r="I860" s="52"/>
      <c r="J860" s="52"/>
      <c r="K860" s="52"/>
      <c r="L860" s="52"/>
      <c r="M860" s="52"/>
      <c r="N860" s="52"/>
      <c r="O860" s="52"/>
      <c r="P860" s="52"/>
      <c r="Q860" s="52"/>
      <c r="R860" s="52"/>
      <c r="S860" s="52"/>
      <c r="T860" s="17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</row>
    <row r="861" spans="1:40" ht="60" customHeight="1" x14ac:dyDescent="0.35">
      <c r="A861" s="14"/>
      <c r="B861" s="1"/>
      <c r="C861" s="1"/>
      <c r="D861" s="1"/>
      <c r="E861" s="50"/>
      <c r="F861" s="50"/>
      <c r="G861" s="50"/>
      <c r="H861" s="50"/>
      <c r="I861" s="50"/>
      <c r="J861" s="50"/>
      <c r="K861" s="50"/>
      <c r="L861" s="50"/>
      <c r="M861" s="50"/>
      <c r="N861" s="50"/>
      <c r="O861" s="50"/>
      <c r="P861" s="50"/>
      <c r="Q861" s="50"/>
      <c r="R861" s="50"/>
      <c r="S861" s="53"/>
      <c r="T861" s="17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</row>
    <row r="862" spans="1:40" ht="60" customHeight="1" x14ac:dyDescent="0.35">
      <c r="A862" s="13"/>
      <c r="B862" s="10"/>
      <c r="C862" s="10"/>
      <c r="D862" s="10"/>
      <c r="E862" s="52"/>
      <c r="F862" s="52"/>
      <c r="G862" s="52"/>
      <c r="H862" s="52"/>
      <c r="I862" s="52"/>
      <c r="J862" s="52"/>
      <c r="K862" s="52"/>
      <c r="L862" s="52"/>
      <c r="M862" s="52"/>
      <c r="N862" s="52"/>
      <c r="O862" s="52"/>
      <c r="P862" s="52"/>
      <c r="Q862" s="52"/>
      <c r="R862" s="52"/>
      <c r="S862" s="52"/>
      <c r="T862" s="17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</row>
    <row r="863" spans="1:40" ht="60" customHeight="1" x14ac:dyDescent="0.35">
      <c r="A863" s="14"/>
      <c r="B863" s="1"/>
      <c r="C863" s="1"/>
      <c r="D863" s="1"/>
      <c r="E863" s="50"/>
      <c r="F863" s="50"/>
      <c r="G863" s="50"/>
      <c r="H863" s="50"/>
      <c r="I863" s="50"/>
      <c r="J863" s="50"/>
      <c r="K863" s="50"/>
      <c r="L863" s="50"/>
      <c r="M863" s="50"/>
      <c r="N863" s="50"/>
      <c r="O863" s="50"/>
      <c r="P863" s="50"/>
      <c r="Q863" s="50"/>
      <c r="R863" s="50"/>
      <c r="S863" s="50"/>
      <c r="T863" s="17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</row>
    <row r="864" spans="1:40" ht="60" customHeight="1" x14ac:dyDescent="0.35">
      <c r="A864" s="13"/>
      <c r="B864" s="10"/>
      <c r="C864" s="10"/>
      <c r="D864" s="10"/>
      <c r="E864" s="52"/>
      <c r="F864" s="52"/>
      <c r="G864" s="52"/>
      <c r="H864" s="52"/>
      <c r="I864" s="52"/>
      <c r="J864" s="52"/>
      <c r="K864" s="52"/>
      <c r="L864" s="52"/>
      <c r="M864" s="52"/>
      <c r="N864" s="52"/>
      <c r="O864" s="52"/>
      <c r="P864" s="52"/>
      <c r="Q864" s="52"/>
      <c r="R864" s="52"/>
      <c r="S864" s="52"/>
      <c r="T864" s="17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</row>
    <row r="865" spans="1:40" ht="60" customHeight="1" x14ac:dyDescent="0.35">
      <c r="A865" s="14"/>
      <c r="B865" s="11"/>
      <c r="C865" s="11"/>
      <c r="D865" s="11"/>
      <c r="E865" s="53"/>
      <c r="F865" s="53"/>
      <c r="G865" s="53"/>
      <c r="H865" s="53"/>
      <c r="I865" s="53"/>
      <c r="J865" s="53"/>
      <c r="K865" s="53"/>
      <c r="L865" s="53"/>
      <c r="M865" s="53"/>
      <c r="N865" s="53"/>
      <c r="O865" s="53"/>
      <c r="P865" s="53"/>
      <c r="Q865" s="53"/>
      <c r="R865" s="53"/>
      <c r="S865" s="53"/>
      <c r="T865" s="17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</row>
    <row r="866" spans="1:40" ht="60" customHeight="1" x14ac:dyDescent="0.35">
      <c r="A866" s="13"/>
      <c r="B866" s="10"/>
      <c r="C866" s="10"/>
      <c r="D866" s="10"/>
      <c r="E866" s="52"/>
      <c r="F866" s="52"/>
      <c r="G866" s="52"/>
      <c r="H866" s="52"/>
      <c r="I866" s="52"/>
      <c r="J866" s="52"/>
      <c r="K866" s="52"/>
      <c r="L866" s="52"/>
      <c r="M866" s="52"/>
      <c r="N866" s="52"/>
      <c r="O866" s="52"/>
      <c r="P866" s="52"/>
      <c r="Q866" s="52"/>
      <c r="R866" s="52"/>
      <c r="S866" s="52"/>
      <c r="T866" s="17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</row>
    <row r="867" spans="1:40" ht="60" customHeight="1" x14ac:dyDescent="0.35">
      <c r="A867" s="14"/>
      <c r="B867" s="1"/>
      <c r="C867" s="1"/>
      <c r="D867" s="1"/>
      <c r="E867" s="50"/>
      <c r="F867" s="50"/>
      <c r="G867" s="50"/>
      <c r="H867" s="50"/>
      <c r="I867" s="50"/>
      <c r="J867" s="50"/>
      <c r="K867" s="50"/>
      <c r="L867" s="50"/>
      <c r="M867" s="50"/>
      <c r="N867" s="50"/>
      <c r="O867" s="50"/>
      <c r="P867" s="50"/>
      <c r="Q867" s="50"/>
      <c r="R867" s="50"/>
      <c r="S867" s="50"/>
      <c r="T867" s="17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</row>
    <row r="868" spans="1:40" ht="60" customHeight="1" x14ac:dyDescent="0.35">
      <c r="A868" s="13"/>
      <c r="B868" s="10"/>
      <c r="C868" s="10"/>
      <c r="D868" s="10"/>
      <c r="E868" s="52"/>
      <c r="F868" s="52"/>
      <c r="G868" s="52"/>
      <c r="H868" s="52"/>
      <c r="I868" s="52"/>
      <c r="J868" s="52"/>
      <c r="K868" s="52"/>
      <c r="L868" s="52"/>
      <c r="M868" s="52"/>
      <c r="N868" s="52"/>
      <c r="O868" s="52"/>
      <c r="P868" s="52"/>
      <c r="Q868" s="52"/>
      <c r="R868" s="52"/>
      <c r="S868" s="52"/>
      <c r="T868" s="17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</row>
    <row r="869" spans="1:40" ht="60" customHeight="1" x14ac:dyDescent="0.35">
      <c r="A869" s="14"/>
      <c r="B869" s="1"/>
      <c r="C869" s="1"/>
      <c r="D869" s="1"/>
      <c r="E869" s="50"/>
      <c r="F869" s="50"/>
      <c r="G869" s="50"/>
      <c r="H869" s="50"/>
      <c r="I869" s="50"/>
      <c r="J869" s="50"/>
      <c r="K869" s="50"/>
      <c r="L869" s="50"/>
      <c r="M869" s="50"/>
      <c r="N869" s="50"/>
      <c r="O869" s="50"/>
      <c r="P869" s="50"/>
      <c r="Q869" s="50"/>
      <c r="R869" s="50"/>
      <c r="S869" s="50"/>
      <c r="T869" s="17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</row>
    <row r="870" spans="1:40" ht="60" customHeight="1" x14ac:dyDescent="0.35">
      <c r="A870" s="13"/>
      <c r="B870" s="10"/>
      <c r="C870" s="10"/>
      <c r="D870" s="10"/>
      <c r="E870" s="52"/>
      <c r="F870" s="52"/>
      <c r="G870" s="52"/>
      <c r="H870" s="52"/>
      <c r="I870" s="52"/>
      <c r="J870" s="52"/>
      <c r="K870" s="52"/>
      <c r="L870" s="52"/>
      <c r="M870" s="52"/>
      <c r="N870" s="52"/>
      <c r="O870" s="52"/>
      <c r="P870" s="52"/>
      <c r="Q870" s="52"/>
      <c r="R870" s="52"/>
      <c r="S870" s="52"/>
      <c r="T870" s="17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</row>
    <row r="871" spans="1:40" ht="60" customHeight="1" x14ac:dyDescent="0.35">
      <c r="A871" s="14"/>
      <c r="B871" s="11"/>
      <c r="C871" s="11"/>
      <c r="D871" s="11"/>
      <c r="E871" s="53"/>
      <c r="F871" s="53"/>
      <c r="G871" s="53"/>
      <c r="H871" s="53"/>
      <c r="I871" s="53"/>
      <c r="J871" s="53"/>
      <c r="K871" s="53"/>
      <c r="L871" s="53"/>
      <c r="M871" s="53"/>
      <c r="N871" s="53"/>
      <c r="O871" s="53"/>
      <c r="P871" s="53"/>
      <c r="Q871" s="53"/>
      <c r="R871" s="53"/>
      <c r="S871" s="53"/>
      <c r="T871" s="17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</row>
    <row r="872" spans="1:40" ht="60" customHeight="1" x14ac:dyDescent="0.35">
      <c r="A872" s="13"/>
      <c r="B872" s="10"/>
      <c r="C872" s="10"/>
      <c r="D872" s="10"/>
      <c r="E872" s="52"/>
      <c r="F872" s="52"/>
      <c r="G872" s="52"/>
      <c r="H872" s="52"/>
      <c r="I872" s="52"/>
      <c r="J872" s="52"/>
      <c r="K872" s="52"/>
      <c r="L872" s="52"/>
      <c r="M872" s="52"/>
      <c r="N872" s="52"/>
      <c r="O872" s="52"/>
      <c r="P872" s="52"/>
      <c r="Q872" s="52"/>
      <c r="R872" s="52"/>
      <c r="S872" s="52"/>
      <c r="T872" s="17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</row>
    <row r="873" spans="1:40" ht="60" customHeight="1" x14ac:dyDescent="0.35">
      <c r="A873" s="14"/>
      <c r="B873" s="1"/>
      <c r="C873" s="1"/>
      <c r="D873" s="1"/>
      <c r="E873" s="50"/>
      <c r="F873" s="50"/>
      <c r="G873" s="50"/>
      <c r="H873" s="50"/>
      <c r="I873" s="50"/>
      <c r="J873" s="50"/>
      <c r="K873" s="50"/>
      <c r="L873" s="50"/>
      <c r="M873" s="50"/>
      <c r="N873" s="50"/>
      <c r="O873" s="50"/>
      <c r="P873" s="50"/>
      <c r="Q873" s="50"/>
      <c r="R873" s="50"/>
      <c r="S873" s="50"/>
      <c r="T873" s="17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</row>
    <row r="874" spans="1:40" ht="60" customHeight="1" x14ac:dyDescent="0.35">
      <c r="A874" s="13"/>
      <c r="B874" s="10"/>
      <c r="C874" s="10"/>
      <c r="D874" s="10"/>
      <c r="E874" s="52"/>
      <c r="F874" s="52"/>
      <c r="G874" s="52"/>
      <c r="H874" s="52"/>
      <c r="I874" s="52"/>
      <c r="J874" s="52"/>
      <c r="K874" s="52"/>
      <c r="L874" s="52"/>
      <c r="M874" s="52"/>
      <c r="N874" s="52"/>
      <c r="O874" s="52"/>
      <c r="P874" s="52"/>
      <c r="Q874" s="52"/>
      <c r="R874" s="52"/>
      <c r="S874" s="52"/>
      <c r="T874" s="17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</row>
    <row r="875" spans="1:40" ht="60" customHeight="1" x14ac:dyDescent="0.35">
      <c r="A875" s="14"/>
      <c r="B875" s="1"/>
      <c r="C875" s="1"/>
      <c r="D875" s="1"/>
      <c r="E875" s="50"/>
      <c r="F875" s="50"/>
      <c r="G875" s="50"/>
      <c r="H875" s="50"/>
      <c r="I875" s="50"/>
      <c r="J875" s="50"/>
      <c r="K875" s="50"/>
      <c r="L875" s="50"/>
      <c r="M875" s="50"/>
      <c r="N875" s="50"/>
      <c r="O875" s="50"/>
      <c r="P875" s="50"/>
      <c r="Q875" s="50"/>
      <c r="R875" s="50"/>
      <c r="S875" s="50"/>
      <c r="T875" s="17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</row>
    <row r="876" spans="1:40" ht="60" customHeight="1" x14ac:dyDescent="0.35">
      <c r="A876" s="13"/>
      <c r="B876" s="10"/>
      <c r="C876" s="10"/>
      <c r="D876" s="10"/>
      <c r="E876" s="52"/>
      <c r="F876" s="52"/>
      <c r="G876" s="52"/>
      <c r="H876" s="52"/>
      <c r="I876" s="52"/>
      <c r="J876" s="52"/>
      <c r="K876" s="52"/>
      <c r="L876" s="52"/>
      <c r="M876" s="52"/>
      <c r="N876" s="52"/>
      <c r="O876" s="52"/>
      <c r="P876" s="52"/>
      <c r="Q876" s="52"/>
      <c r="R876" s="52"/>
      <c r="S876" s="52"/>
      <c r="T876" s="17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</row>
    <row r="877" spans="1:40" ht="60" customHeight="1" x14ac:dyDescent="0.35">
      <c r="A877" s="14"/>
      <c r="B877" s="11"/>
      <c r="C877" s="11"/>
      <c r="D877" s="11"/>
      <c r="E877" s="53"/>
      <c r="F877" s="53"/>
      <c r="G877" s="53"/>
      <c r="H877" s="53"/>
      <c r="I877" s="53"/>
      <c r="J877" s="53"/>
      <c r="K877" s="53"/>
      <c r="L877" s="53"/>
      <c r="M877" s="53"/>
      <c r="N877" s="53"/>
      <c r="O877" s="53"/>
      <c r="P877" s="53"/>
      <c r="Q877" s="53"/>
      <c r="R877" s="53"/>
      <c r="S877" s="53"/>
      <c r="T877" s="17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</row>
    <row r="878" spans="1:40" ht="60" customHeight="1" x14ac:dyDescent="0.35">
      <c r="A878" s="13"/>
      <c r="B878" s="10"/>
      <c r="C878" s="10"/>
      <c r="D878" s="10"/>
      <c r="E878" s="52"/>
      <c r="F878" s="52"/>
      <c r="G878" s="52"/>
      <c r="H878" s="52"/>
      <c r="I878" s="52"/>
      <c r="J878" s="52"/>
      <c r="K878" s="52"/>
      <c r="L878" s="52"/>
      <c r="M878" s="52"/>
      <c r="N878" s="52"/>
      <c r="O878" s="52"/>
      <c r="P878" s="52"/>
      <c r="Q878" s="52"/>
      <c r="R878" s="52"/>
      <c r="S878" s="52"/>
      <c r="T878" s="17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</row>
    <row r="879" spans="1:40" ht="60" customHeight="1" x14ac:dyDescent="0.35">
      <c r="A879" s="14"/>
      <c r="B879" s="11"/>
      <c r="C879" s="11"/>
      <c r="D879" s="11"/>
      <c r="E879" s="53"/>
      <c r="F879" s="53"/>
      <c r="G879" s="53"/>
      <c r="H879" s="53"/>
      <c r="I879" s="53"/>
      <c r="J879" s="53"/>
      <c r="K879" s="53"/>
      <c r="L879" s="53"/>
      <c r="M879" s="53"/>
      <c r="N879" s="53"/>
      <c r="O879" s="53"/>
      <c r="P879" s="53"/>
      <c r="Q879" s="53"/>
      <c r="R879" s="53"/>
      <c r="S879" s="53"/>
      <c r="T879" s="17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</row>
    <row r="880" spans="1:40" ht="60" customHeight="1" x14ac:dyDescent="0.35">
      <c r="A880" s="13"/>
      <c r="B880" s="10"/>
      <c r="C880" s="10"/>
      <c r="D880" s="10"/>
      <c r="E880" s="52"/>
      <c r="F880" s="52"/>
      <c r="G880" s="52"/>
      <c r="H880" s="52"/>
      <c r="I880" s="52"/>
      <c r="J880" s="52"/>
      <c r="K880" s="52"/>
      <c r="L880" s="52"/>
      <c r="M880" s="52"/>
      <c r="N880" s="52"/>
      <c r="O880" s="52"/>
      <c r="P880" s="52"/>
      <c r="Q880" s="52"/>
      <c r="R880" s="52"/>
      <c r="S880" s="52"/>
      <c r="T880" s="17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</row>
    <row r="881" spans="1:40" ht="60" customHeight="1" x14ac:dyDescent="0.35">
      <c r="A881" s="14"/>
      <c r="B881" s="11"/>
      <c r="C881" s="11"/>
      <c r="D881" s="11"/>
      <c r="E881" s="53"/>
      <c r="F881" s="53"/>
      <c r="G881" s="53"/>
      <c r="H881" s="53"/>
      <c r="I881" s="53"/>
      <c r="J881" s="53"/>
      <c r="K881" s="53"/>
      <c r="L881" s="53"/>
      <c r="M881" s="53"/>
      <c r="N881" s="53"/>
      <c r="O881" s="53"/>
      <c r="P881" s="53"/>
      <c r="Q881" s="53"/>
      <c r="R881" s="53"/>
      <c r="S881" s="53"/>
      <c r="T881" s="17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</row>
    <row r="882" spans="1:40" ht="60" customHeight="1" x14ac:dyDescent="0.35">
      <c r="A882" s="13"/>
      <c r="B882" s="10"/>
      <c r="C882" s="10"/>
      <c r="D882" s="10"/>
      <c r="E882" s="52"/>
      <c r="F882" s="52"/>
      <c r="G882" s="52"/>
      <c r="H882" s="52"/>
      <c r="I882" s="52"/>
      <c r="J882" s="52"/>
      <c r="K882" s="52"/>
      <c r="L882" s="52"/>
      <c r="M882" s="52"/>
      <c r="N882" s="52"/>
      <c r="O882" s="52"/>
      <c r="P882" s="52"/>
      <c r="Q882" s="52"/>
      <c r="R882" s="52"/>
      <c r="S882" s="52"/>
      <c r="T882" s="17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</row>
    <row r="883" spans="1:40" ht="60" customHeight="1" x14ac:dyDescent="0.35">
      <c r="A883" s="14"/>
      <c r="B883" s="11"/>
      <c r="C883" s="11"/>
      <c r="D883" s="11"/>
      <c r="E883" s="53"/>
      <c r="F883" s="53"/>
      <c r="G883" s="53"/>
      <c r="H883" s="53"/>
      <c r="I883" s="53"/>
      <c r="J883" s="53"/>
      <c r="K883" s="53"/>
      <c r="L883" s="53"/>
      <c r="M883" s="53"/>
      <c r="N883" s="53"/>
      <c r="O883" s="53"/>
      <c r="P883" s="53"/>
      <c r="Q883" s="53"/>
      <c r="R883" s="53"/>
      <c r="S883" s="53"/>
      <c r="T883" s="17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</row>
    <row r="884" spans="1:40" ht="60" customHeight="1" x14ac:dyDescent="0.35">
      <c r="A884" s="13"/>
      <c r="B884" s="10"/>
      <c r="C884" s="10"/>
      <c r="D884" s="10"/>
      <c r="E884" s="52"/>
      <c r="F884" s="52"/>
      <c r="G884" s="52"/>
      <c r="H884" s="52"/>
      <c r="I884" s="52"/>
      <c r="J884" s="52"/>
      <c r="K884" s="52"/>
      <c r="L884" s="52"/>
      <c r="M884" s="52"/>
      <c r="N884" s="52"/>
      <c r="O884" s="52"/>
      <c r="P884" s="52"/>
      <c r="Q884" s="52"/>
      <c r="R884" s="52"/>
      <c r="S884" s="52"/>
      <c r="T884" s="17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</row>
    <row r="885" spans="1:40" ht="60" customHeight="1" x14ac:dyDescent="0.35">
      <c r="A885" s="14"/>
      <c r="B885" s="1"/>
      <c r="C885" s="1"/>
      <c r="D885" s="1"/>
      <c r="E885" s="50"/>
      <c r="F885" s="50"/>
      <c r="G885" s="50"/>
      <c r="H885" s="50"/>
      <c r="I885" s="50"/>
      <c r="J885" s="50"/>
      <c r="K885" s="50"/>
      <c r="L885" s="50"/>
      <c r="M885" s="50"/>
      <c r="N885" s="50"/>
      <c r="O885" s="50"/>
      <c r="P885" s="50"/>
      <c r="Q885" s="50"/>
      <c r="R885" s="50"/>
      <c r="S885" s="50"/>
      <c r="T885" s="17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</row>
    <row r="886" spans="1:40" ht="60" customHeight="1" x14ac:dyDescent="0.35">
      <c r="A886" s="13"/>
      <c r="B886" s="10"/>
      <c r="C886" s="10"/>
      <c r="D886" s="10"/>
      <c r="E886" s="52"/>
      <c r="F886" s="52"/>
      <c r="G886" s="52"/>
      <c r="H886" s="52"/>
      <c r="I886" s="52"/>
      <c r="J886" s="52"/>
      <c r="K886" s="52"/>
      <c r="L886" s="52"/>
      <c r="M886" s="52"/>
      <c r="N886" s="52"/>
      <c r="O886" s="52"/>
      <c r="P886" s="52"/>
      <c r="Q886" s="52"/>
      <c r="R886" s="52"/>
      <c r="S886" s="52"/>
      <c r="T886" s="17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</row>
    <row r="887" spans="1:40" ht="60" customHeight="1" x14ac:dyDescent="0.35">
      <c r="A887" s="14"/>
      <c r="B887" s="1"/>
      <c r="C887" s="1"/>
      <c r="D887" s="1"/>
      <c r="E887" s="50"/>
      <c r="F887" s="50"/>
      <c r="G887" s="50"/>
      <c r="H887" s="50"/>
      <c r="I887" s="50"/>
      <c r="J887" s="50"/>
      <c r="K887" s="50"/>
      <c r="L887" s="50"/>
      <c r="M887" s="50"/>
      <c r="N887" s="50"/>
      <c r="O887" s="50"/>
      <c r="P887" s="50"/>
      <c r="Q887" s="50"/>
      <c r="R887" s="50"/>
      <c r="S887" s="50"/>
      <c r="T887" s="17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</row>
    <row r="888" spans="1:40" ht="60" customHeight="1" x14ac:dyDescent="0.35">
      <c r="A888" s="13"/>
      <c r="B888" s="10"/>
      <c r="C888" s="10"/>
      <c r="D888" s="10"/>
      <c r="E888" s="52"/>
      <c r="F888" s="52"/>
      <c r="G888" s="52"/>
      <c r="H888" s="52"/>
      <c r="I888" s="52"/>
      <c r="J888" s="52"/>
      <c r="K888" s="52"/>
      <c r="L888" s="52"/>
      <c r="M888" s="52"/>
      <c r="N888" s="52"/>
      <c r="O888" s="52"/>
      <c r="P888" s="52"/>
      <c r="Q888" s="52"/>
      <c r="R888" s="52"/>
      <c r="S888" s="52"/>
      <c r="T888" s="17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</row>
    <row r="889" spans="1:40" x14ac:dyDescent="0.35">
      <c r="A889" s="14"/>
      <c r="B889" s="11"/>
      <c r="C889" s="11"/>
      <c r="D889" s="11"/>
      <c r="E889" s="53"/>
      <c r="F889" s="53"/>
      <c r="G889" s="53"/>
      <c r="H889" s="53"/>
      <c r="I889" s="53"/>
      <c r="J889" s="53"/>
      <c r="K889" s="53"/>
      <c r="L889" s="53"/>
      <c r="M889" s="53"/>
      <c r="N889" s="53"/>
      <c r="O889" s="53"/>
      <c r="P889" s="53"/>
      <c r="Q889" s="53"/>
      <c r="R889" s="53"/>
      <c r="S889" s="53"/>
      <c r="T889" s="17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</row>
    <row r="890" spans="1:40" x14ac:dyDescent="0.35">
      <c r="A890" s="13"/>
      <c r="B890" s="10"/>
      <c r="C890" s="10"/>
      <c r="D890" s="10"/>
      <c r="E890" s="52"/>
      <c r="F890" s="52"/>
      <c r="G890" s="52"/>
      <c r="H890" s="52"/>
      <c r="I890" s="52"/>
      <c r="J890" s="52"/>
      <c r="K890" s="52"/>
      <c r="L890" s="52"/>
      <c r="M890" s="52"/>
      <c r="N890" s="52"/>
      <c r="O890" s="52"/>
      <c r="P890" s="52"/>
      <c r="Q890" s="52"/>
      <c r="R890" s="52"/>
      <c r="S890" s="52"/>
      <c r="T890" s="17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</row>
    <row r="891" spans="1:40" x14ac:dyDescent="0.35">
      <c r="A891" s="14"/>
      <c r="B891" s="11"/>
      <c r="C891" s="11"/>
      <c r="D891" s="11"/>
      <c r="E891" s="53"/>
      <c r="F891" s="53"/>
      <c r="G891" s="53"/>
      <c r="H891" s="53"/>
      <c r="I891" s="53"/>
      <c r="J891" s="53"/>
      <c r="K891" s="53"/>
      <c r="L891" s="53"/>
      <c r="M891" s="53"/>
      <c r="N891" s="53"/>
      <c r="O891" s="53"/>
      <c r="P891" s="53"/>
      <c r="Q891" s="53"/>
      <c r="R891" s="53"/>
      <c r="S891" s="53"/>
      <c r="T891" s="17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</row>
    <row r="892" spans="1:40" x14ac:dyDescent="0.35">
      <c r="A892" s="13"/>
      <c r="B892" s="10"/>
      <c r="C892" s="10"/>
      <c r="D892" s="10"/>
      <c r="E892" s="52"/>
      <c r="F892" s="52"/>
      <c r="G892" s="52"/>
      <c r="H892" s="52"/>
      <c r="I892" s="52"/>
      <c r="J892" s="52"/>
      <c r="K892" s="52"/>
      <c r="L892" s="52"/>
      <c r="M892" s="52"/>
      <c r="N892" s="52"/>
      <c r="O892" s="52"/>
      <c r="P892" s="52"/>
      <c r="Q892" s="52"/>
      <c r="R892" s="52"/>
      <c r="S892" s="52"/>
      <c r="T892" s="17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</row>
    <row r="893" spans="1:40" x14ac:dyDescent="0.35">
      <c r="A893" s="14"/>
      <c r="B893" s="11"/>
      <c r="C893" s="11"/>
      <c r="D893" s="11"/>
      <c r="E893" s="53"/>
      <c r="F893" s="53"/>
      <c r="G893" s="53"/>
      <c r="H893" s="53"/>
      <c r="I893" s="53"/>
      <c r="J893" s="53"/>
      <c r="K893" s="53"/>
      <c r="L893" s="53"/>
      <c r="M893" s="53"/>
      <c r="N893" s="53"/>
      <c r="O893" s="53"/>
      <c r="P893" s="53"/>
      <c r="Q893" s="53"/>
      <c r="R893" s="53"/>
      <c r="S893" s="53"/>
      <c r="T893" s="17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</row>
    <row r="894" spans="1:40" x14ac:dyDescent="0.35">
      <c r="A894" s="13"/>
      <c r="B894" s="10"/>
      <c r="C894" s="10"/>
      <c r="D894" s="10"/>
      <c r="E894" s="52"/>
      <c r="F894" s="52"/>
      <c r="G894" s="52"/>
      <c r="H894" s="52"/>
      <c r="I894" s="52"/>
      <c r="J894" s="52"/>
      <c r="K894" s="52"/>
      <c r="L894" s="52"/>
      <c r="M894" s="52"/>
      <c r="N894" s="52"/>
      <c r="O894" s="52"/>
      <c r="P894" s="52"/>
      <c r="Q894" s="52"/>
      <c r="R894" s="52"/>
      <c r="S894" s="52"/>
      <c r="T894" s="17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</row>
    <row r="895" spans="1:40" x14ac:dyDescent="0.35">
      <c r="A895" s="14"/>
      <c r="B895" s="1"/>
      <c r="C895" s="1"/>
      <c r="D895" s="1"/>
      <c r="E895" s="50"/>
      <c r="F895" s="50"/>
      <c r="G895" s="50"/>
      <c r="H895" s="50"/>
      <c r="I895" s="50"/>
      <c r="J895" s="50"/>
      <c r="K895" s="50"/>
      <c r="L895" s="50"/>
      <c r="M895" s="50"/>
      <c r="N895" s="50"/>
      <c r="O895" s="50"/>
      <c r="P895" s="50"/>
      <c r="Q895" s="50"/>
      <c r="R895" s="50"/>
      <c r="S895" s="50"/>
      <c r="T895" s="17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</row>
    <row r="896" spans="1:40" x14ac:dyDescent="0.35">
      <c r="A896" s="13"/>
      <c r="B896" s="10"/>
      <c r="C896" s="10"/>
      <c r="D896" s="10"/>
      <c r="E896" s="52"/>
      <c r="F896" s="52"/>
      <c r="G896" s="52"/>
      <c r="H896" s="52"/>
      <c r="I896" s="52"/>
      <c r="J896" s="52"/>
      <c r="K896" s="52"/>
      <c r="L896" s="52"/>
      <c r="M896" s="52"/>
      <c r="N896" s="52"/>
      <c r="O896" s="52"/>
      <c r="P896" s="52"/>
      <c r="Q896" s="52"/>
      <c r="R896" s="52"/>
      <c r="S896" s="52"/>
      <c r="T896" s="17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</row>
    <row r="897" spans="1:40" x14ac:dyDescent="0.35">
      <c r="A897" s="14"/>
      <c r="B897" s="1"/>
      <c r="C897" s="1"/>
      <c r="D897" s="1"/>
      <c r="E897" s="50"/>
      <c r="F897" s="50"/>
      <c r="G897" s="50"/>
      <c r="H897" s="50"/>
      <c r="I897" s="50"/>
      <c r="J897" s="50"/>
      <c r="K897" s="50"/>
      <c r="L897" s="50"/>
      <c r="M897" s="50"/>
      <c r="N897" s="50"/>
      <c r="O897" s="50"/>
      <c r="P897" s="50"/>
      <c r="Q897" s="50"/>
      <c r="R897" s="50"/>
      <c r="S897" s="53"/>
      <c r="T897" s="17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</row>
    <row r="898" spans="1:40" x14ac:dyDescent="0.35">
      <c r="A898" s="13"/>
      <c r="B898" s="10"/>
      <c r="C898" s="10"/>
      <c r="D898" s="10"/>
      <c r="E898" s="52"/>
      <c r="F898" s="52"/>
      <c r="G898" s="52"/>
      <c r="H898" s="52"/>
      <c r="I898" s="52"/>
      <c r="J898" s="52"/>
      <c r="K898" s="52"/>
      <c r="L898" s="52"/>
      <c r="M898" s="52"/>
      <c r="N898" s="52"/>
      <c r="O898" s="52"/>
      <c r="P898" s="52"/>
      <c r="Q898" s="52"/>
      <c r="R898" s="52"/>
      <c r="S898" s="52"/>
      <c r="T898" s="17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</row>
    <row r="899" spans="1:40" x14ac:dyDescent="0.35">
      <c r="A899" s="14"/>
      <c r="B899" s="11"/>
      <c r="C899" s="11"/>
      <c r="D899" s="11"/>
      <c r="E899" s="53"/>
      <c r="F899" s="53"/>
      <c r="G899" s="53"/>
      <c r="H899" s="53"/>
      <c r="I899" s="53"/>
      <c r="J899" s="53"/>
      <c r="K899" s="53"/>
      <c r="L899" s="53"/>
      <c r="M899" s="53"/>
      <c r="N899" s="53"/>
      <c r="O899" s="53"/>
      <c r="P899" s="53"/>
      <c r="Q899" s="53"/>
      <c r="R899" s="53"/>
      <c r="S899" s="53"/>
      <c r="T899" s="17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</row>
    <row r="900" spans="1:40" x14ac:dyDescent="0.35">
      <c r="A900" s="13"/>
      <c r="B900" s="10"/>
      <c r="C900" s="10"/>
      <c r="D900" s="10"/>
      <c r="E900" s="52"/>
      <c r="F900" s="52"/>
      <c r="G900" s="52"/>
      <c r="H900" s="52"/>
      <c r="I900" s="52"/>
      <c r="J900" s="52"/>
      <c r="K900" s="52"/>
      <c r="L900" s="52"/>
      <c r="M900" s="52"/>
      <c r="N900" s="52"/>
      <c r="O900" s="52"/>
      <c r="P900" s="52"/>
      <c r="Q900" s="52"/>
      <c r="R900" s="52"/>
      <c r="S900" s="52"/>
      <c r="T900" s="17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</row>
    <row r="901" spans="1:40" x14ac:dyDescent="0.35">
      <c r="A901" s="14"/>
      <c r="B901" s="11"/>
      <c r="C901" s="11"/>
      <c r="D901" s="11"/>
      <c r="E901" s="53"/>
      <c r="F901" s="53"/>
      <c r="G901" s="53"/>
      <c r="H901" s="53"/>
      <c r="I901" s="53"/>
      <c r="J901" s="53"/>
      <c r="K901" s="53"/>
      <c r="L901" s="53"/>
      <c r="M901" s="53"/>
      <c r="N901" s="53"/>
      <c r="O901" s="53"/>
      <c r="P901" s="53"/>
      <c r="Q901" s="53"/>
      <c r="R901" s="53"/>
      <c r="S901" s="53"/>
      <c r="T901" s="17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</row>
    <row r="902" spans="1:40" x14ac:dyDescent="0.35">
      <c r="A902" s="13"/>
      <c r="B902" s="10"/>
      <c r="C902" s="10"/>
      <c r="D902" s="10"/>
      <c r="E902" s="52"/>
      <c r="F902" s="52"/>
      <c r="G902" s="52"/>
      <c r="H902" s="52"/>
      <c r="I902" s="52"/>
      <c r="J902" s="52"/>
      <c r="K902" s="52"/>
      <c r="L902" s="52"/>
      <c r="M902" s="52"/>
      <c r="N902" s="52"/>
      <c r="O902" s="52"/>
      <c r="P902" s="52"/>
      <c r="Q902" s="52"/>
      <c r="R902" s="52"/>
      <c r="S902" s="52"/>
      <c r="T902" s="17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</row>
    <row r="903" spans="1:40" x14ac:dyDescent="0.35">
      <c r="A903" s="14"/>
      <c r="B903" s="1"/>
      <c r="C903" s="1"/>
      <c r="D903" s="1"/>
      <c r="E903" s="50"/>
      <c r="F903" s="50"/>
      <c r="G903" s="50"/>
      <c r="H903" s="50"/>
      <c r="I903" s="50"/>
      <c r="J903" s="50"/>
      <c r="K903" s="50"/>
      <c r="L903" s="50"/>
      <c r="M903" s="50"/>
      <c r="N903" s="50"/>
      <c r="O903" s="50"/>
      <c r="P903" s="50"/>
      <c r="Q903" s="50"/>
      <c r="R903" s="50"/>
      <c r="S903" s="53"/>
      <c r="T903" s="17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</row>
    <row r="904" spans="1:40" x14ac:dyDescent="0.35">
      <c r="A904" s="13"/>
      <c r="B904" s="10"/>
      <c r="C904" s="10"/>
      <c r="D904" s="10"/>
      <c r="E904" s="52"/>
      <c r="F904" s="52"/>
      <c r="G904" s="52"/>
      <c r="H904" s="52"/>
      <c r="I904" s="52"/>
      <c r="J904" s="52"/>
      <c r="K904" s="52"/>
      <c r="L904" s="52"/>
      <c r="M904" s="52"/>
      <c r="N904" s="52"/>
      <c r="O904" s="52"/>
      <c r="P904" s="52"/>
      <c r="Q904" s="52"/>
      <c r="R904" s="52"/>
      <c r="S904" s="52"/>
      <c r="T904" s="17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</row>
    <row r="905" spans="1:40" x14ac:dyDescent="0.35">
      <c r="A905" s="14"/>
      <c r="B905" s="11"/>
      <c r="C905" s="11"/>
      <c r="D905" s="11"/>
      <c r="E905" s="53"/>
      <c r="F905" s="53"/>
      <c r="G905" s="53"/>
      <c r="H905" s="53"/>
      <c r="I905" s="53"/>
      <c r="J905" s="53"/>
      <c r="K905" s="53"/>
      <c r="L905" s="53"/>
      <c r="M905" s="53"/>
      <c r="N905" s="53"/>
      <c r="O905" s="53"/>
      <c r="P905" s="53"/>
      <c r="Q905" s="53"/>
      <c r="R905" s="53"/>
      <c r="S905" s="53"/>
      <c r="T905" s="17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</row>
    <row r="906" spans="1:40" x14ac:dyDescent="0.35">
      <c r="A906" s="13"/>
      <c r="B906" s="10"/>
      <c r="C906" s="10"/>
      <c r="D906" s="10"/>
      <c r="E906" s="52"/>
      <c r="F906" s="52"/>
      <c r="G906" s="52"/>
      <c r="H906" s="52"/>
      <c r="I906" s="52"/>
      <c r="J906" s="52"/>
      <c r="K906" s="52"/>
      <c r="L906" s="52"/>
      <c r="M906" s="52"/>
      <c r="N906" s="52"/>
      <c r="O906" s="52"/>
      <c r="P906" s="52"/>
      <c r="Q906" s="52"/>
      <c r="R906" s="52"/>
      <c r="S906" s="52"/>
      <c r="T906" s="17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</row>
    <row r="907" spans="1:40" x14ac:dyDescent="0.35">
      <c r="A907" s="14"/>
      <c r="B907" s="11"/>
      <c r="C907" s="11"/>
      <c r="D907" s="11"/>
      <c r="E907" s="53"/>
      <c r="F907" s="53"/>
      <c r="G907" s="53"/>
      <c r="H907" s="53"/>
      <c r="I907" s="53"/>
      <c r="J907" s="53"/>
      <c r="K907" s="53"/>
      <c r="L907" s="53"/>
      <c r="M907" s="53"/>
      <c r="N907" s="53"/>
      <c r="O907" s="53"/>
      <c r="P907" s="53"/>
      <c r="Q907" s="53"/>
      <c r="R907" s="53"/>
      <c r="S907" s="53"/>
      <c r="T907" s="17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</row>
    <row r="908" spans="1:40" x14ac:dyDescent="0.35">
      <c r="A908" s="13"/>
      <c r="B908" s="10"/>
      <c r="C908" s="10"/>
      <c r="D908" s="10"/>
      <c r="E908" s="52"/>
      <c r="F908" s="52"/>
      <c r="G908" s="52"/>
      <c r="H908" s="52"/>
      <c r="I908" s="52"/>
      <c r="J908" s="52"/>
      <c r="K908" s="52"/>
      <c r="L908" s="52"/>
      <c r="M908" s="52"/>
      <c r="N908" s="52"/>
      <c r="O908" s="52"/>
      <c r="P908" s="52"/>
      <c r="Q908" s="52"/>
      <c r="R908" s="52"/>
      <c r="S908" s="52"/>
      <c r="T908" s="17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</row>
    <row r="909" spans="1:40" x14ac:dyDescent="0.35">
      <c r="A909" s="14"/>
      <c r="B909" s="1"/>
      <c r="C909" s="1"/>
      <c r="D909" s="1"/>
      <c r="E909" s="50"/>
      <c r="F909" s="50"/>
      <c r="G909" s="50"/>
      <c r="H909" s="50"/>
      <c r="I909" s="50"/>
      <c r="J909" s="50"/>
      <c r="K909" s="50"/>
      <c r="L909" s="50"/>
      <c r="M909" s="50"/>
      <c r="N909" s="50"/>
      <c r="O909" s="50"/>
      <c r="P909" s="50"/>
      <c r="Q909" s="50"/>
      <c r="R909" s="50"/>
      <c r="S909" s="53"/>
      <c r="T909" s="17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</row>
    <row r="910" spans="1:40" x14ac:dyDescent="0.35">
      <c r="A910" s="13"/>
      <c r="B910" s="10"/>
      <c r="C910" s="10"/>
      <c r="D910" s="10"/>
      <c r="E910" s="52"/>
      <c r="F910" s="52"/>
      <c r="G910" s="52"/>
      <c r="H910" s="52"/>
      <c r="I910" s="52"/>
      <c r="J910" s="52"/>
      <c r="K910" s="52"/>
      <c r="L910" s="52"/>
      <c r="M910" s="52"/>
      <c r="N910" s="52"/>
      <c r="O910" s="52"/>
      <c r="P910" s="52"/>
      <c r="Q910" s="52"/>
      <c r="R910" s="52"/>
      <c r="S910" s="52"/>
      <c r="T910" s="17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</row>
    <row r="911" spans="1:40" x14ac:dyDescent="0.35">
      <c r="A911" s="14"/>
      <c r="B911" s="11"/>
      <c r="C911" s="11"/>
      <c r="D911" s="11"/>
      <c r="E911" s="53"/>
      <c r="F911" s="53"/>
      <c r="G911" s="53"/>
      <c r="H911" s="53"/>
      <c r="I911" s="53"/>
      <c r="J911" s="53"/>
      <c r="K911" s="53"/>
      <c r="L911" s="53"/>
      <c r="M911" s="53"/>
      <c r="N911" s="53"/>
      <c r="O911" s="53"/>
      <c r="P911" s="53"/>
      <c r="Q911" s="53"/>
      <c r="R911" s="53"/>
      <c r="S911" s="53"/>
      <c r="T911" s="17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</row>
    <row r="912" spans="1:40" x14ac:dyDescent="0.35">
      <c r="A912" s="13"/>
      <c r="B912" s="10"/>
      <c r="C912" s="10"/>
      <c r="D912" s="10"/>
      <c r="E912" s="52"/>
      <c r="F912" s="52"/>
      <c r="G912" s="52"/>
      <c r="H912" s="52"/>
      <c r="I912" s="52"/>
      <c r="J912" s="52"/>
      <c r="K912" s="52"/>
      <c r="L912" s="52"/>
      <c r="M912" s="52"/>
      <c r="N912" s="52"/>
      <c r="O912" s="52"/>
      <c r="P912" s="52"/>
      <c r="Q912" s="52"/>
      <c r="R912" s="52"/>
      <c r="S912" s="52"/>
      <c r="T912" s="17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</row>
    <row r="913" spans="1:40" x14ac:dyDescent="0.35">
      <c r="A913" s="14"/>
      <c r="B913" s="11"/>
      <c r="C913" s="11"/>
      <c r="D913" s="11"/>
      <c r="E913" s="53"/>
      <c r="F913" s="53"/>
      <c r="G913" s="53"/>
      <c r="H913" s="53"/>
      <c r="I913" s="53"/>
      <c r="J913" s="53"/>
      <c r="K913" s="53"/>
      <c r="L913" s="53"/>
      <c r="M913" s="53"/>
      <c r="N913" s="53"/>
      <c r="O913" s="53"/>
      <c r="P913" s="53"/>
      <c r="Q913" s="53"/>
      <c r="R913" s="53"/>
      <c r="S913" s="53"/>
      <c r="T913" s="17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</row>
    <row r="914" spans="1:40" x14ac:dyDescent="0.35">
      <c r="A914" s="13"/>
      <c r="B914" s="10"/>
      <c r="C914" s="10"/>
      <c r="D914" s="10"/>
      <c r="E914" s="52"/>
      <c r="F914" s="52"/>
      <c r="G914" s="52"/>
      <c r="H914" s="52"/>
      <c r="I914" s="52"/>
      <c r="J914" s="52"/>
      <c r="K914" s="52"/>
      <c r="L914" s="52"/>
      <c r="M914" s="52"/>
      <c r="N914" s="52"/>
      <c r="O914" s="52"/>
      <c r="P914" s="52"/>
      <c r="Q914" s="52"/>
      <c r="R914" s="52"/>
      <c r="S914" s="52"/>
      <c r="T914" s="17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</row>
    <row r="915" spans="1:40" x14ac:dyDescent="0.35">
      <c r="A915" s="14"/>
      <c r="B915" s="11"/>
      <c r="C915" s="11"/>
      <c r="D915" s="11"/>
      <c r="E915" s="53"/>
      <c r="F915" s="53"/>
      <c r="G915" s="53"/>
      <c r="H915" s="53"/>
      <c r="I915" s="53"/>
      <c r="J915" s="53"/>
      <c r="K915" s="53"/>
      <c r="L915" s="53"/>
      <c r="M915" s="53"/>
      <c r="N915" s="53"/>
      <c r="O915" s="53"/>
      <c r="P915" s="53"/>
      <c r="Q915" s="53"/>
      <c r="R915" s="53"/>
      <c r="S915" s="53"/>
      <c r="T915" s="17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</row>
    <row r="916" spans="1:40" x14ac:dyDescent="0.35">
      <c r="A916" s="13"/>
      <c r="B916" s="10"/>
      <c r="C916" s="10"/>
      <c r="D916" s="10"/>
      <c r="E916" s="52"/>
      <c r="F916" s="52"/>
      <c r="G916" s="52"/>
      <c r="H916" s="52"/>
      <c r="I916" s="52"/>
      <c r="J916" s="52"/>
      <c r="K916" s="52"/>
      <c r="L916" s="52"/>
      <c r="M916" s="52"/>
      <c r="N916" s="52"/>
      <c r="O916" s="52"/>
      <c r="P916" s="52"/>
      <c r="Q916" s="52"/>
      <c r="R916" s="52"/>
      <c r="S916" s="52"/>
      <c r="T916" s="17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</row>
    <row r="917" spans="1:40" x14ac:dyDescent="0.35">
      <c r="A917" s="14"/>
      <c r="B917" s="11"/>
      <c r="C917" s="11"/>
      <c r="D917" s="11"/>
      <c r="E917" s="53"/>
      <c r="F917" s="53"/>
      <c r="G917" s="53"/>
      <c r="H917" s="53"/>
      <c r="I917" s="53"/>
      <c r="J917" s="53"/>
      <c r="K917" s="53"/>
      <c r="L917" s="53"/>
      <c r="M917" s="53"/>
      <c r="N917" s="53"/>
      <c r="O917" s="53"/>
      <c r="P917" s="53"/>
      <c r="Q917" s="53"/>
      <c r="R917" s="53"/>
      <c r="S917" s="53"/>
      <c r="T917" s="17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</row>
    <row r="918" spans="1:40" x14ac:dyDescent="0.35">
      <c r="A918" s="13"/>
      <c r="B918" s="10"/>
      <c r="C918" s="10"/>
      <c r="D918" s="10"/>
      <c r="E918" s="52"/>
      <c r="F918" s="52"/>
      <c r="G918" s="52"/>
      <c r="H918" s="52"/>
      <c r="I918" s="52"/>
      <c r="J918" s="52"/>
      <c r="K918" s="52"/>
      <c r="L918" s="52"/>
      <c r="M918" s="52"/>
      <c r="N918" s="52"/>
      <c r="O918" s="52"/>
      <c r="P918" s="52"/>
      <c r="Q918" s="52"/>
      <c r="R918" s="52"/>
      <c r="S918" s="52"/>
      <c r="T918" s="17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</row>
    <row r="919" spans="1:40" x14ac:dyDescent="0.35">
      <c r="A919" s="14"/>
      <c r="B919" s="11"/>
      <c r="C919" s="11"/>
      <c r="D919" s="11"/>
      <c r="E919" s="53"/>
      <c r="F919" s="53"/>
      <c r="G919" s="53"/>
      <c r="H919" s="53"/>
      <c r="I919" s="53"/>
      <c r="J919" s="53"/>
      <c r="K919" s="53"/>
      <c r="L919" s="53"/>
      <c r="M919" s="53"/>
      <c r="N919" s="53"/>
      <c r="O919" s="53"/>
      <c r="P919" s="53"/>
      <c r="Q919" s="53"/>
      <c r="R919" s="53"/>
      <c r="S919" s="53"/>
      <c r="T919" s="17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</row>
    <row r="920" spans="1:40" x14ac:dyDescent="0.35">
      <c r="A920" s="13"/>
      <c r="B920" s="10"/>
      <c r="C920" s="10"/>
      <c r="D920" s="10"/>
      <c r="E920" s="52"/>
      <c r="F920" s="52"/>
      <c r="G920" s="52"/>
      <c r="H920" s="52"/>
      <c r="I920" s="52"/>
      <c r="J920" s="52"/>
      <c r="K920" s="52"/>
      <c r="L920" s="52"/>
      <c r="M920" s="52"/>
      <c r="N920" s="52"/>
      <c r="O920" s="52"/>
      <c r="P920" s="52"/>
      <c r="Q920" s="52"/>
      <c r="R920" s="52"/>
      <c r="S920" s="52"/>
      <c r="T920" s="17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</row>
    <row r="921" spans="1:40" x14ac:dyDescent="0.35">
      <c r="A921" s="14"/>
      <c r="B921" s="11"/>
      <c r="C921" s="11"/>
      <c r="D921" s="11"/>
      <c r="E921" s="53"/>
      <c r="F921" s="53"/>
      <c r="G921" s="53"/>
      <c r="H921" s="53"/>
      <c r="I921" s="53"/>
      <c r="J921" s="53"/>
      <c r="K921" s="53"/>
      <c r="L921" s="53"/>
      <c r="M921" s="53"/>
      <c r="N921" s="53"/>
      <c r="O921" s="53"/>
      <c r="P921" s="53"/>
      <c r="Q921" s="53"/>
      <c r="R921" s="53"/>
      <c r="S921" s="53"/>
      <c r="T921" s="17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</row>
    <row r="922" spans="1:40" x14ac:dyDescent="0.35">
      <c r="A922" s="13"/>
      <c r="B922" s="10"/>
      <c r="C922" s="10"/>
      <c r="D922" s="10"/>
      <c r="E922" s="52"/>
      <c r="F922" s="52"/>
      <c r="G922" s="52"/>
      <c r="H922" s="52"/>
      <c r="I922" s="52"/>
      <c r="J922" s="52"/>
      <c r="K922" s="52"/>
      <c r="L922" s="52"/>
      <c r="M922" s="52"/>
      <c r="N922" s="52"/>
      <c r="O922" s="52"/>
      <c r="P922" s="52"/>
      <c r="Q922" s="52"/>
      <c r="R922" s="52"/>
      <c r="S922" s="52"/>
      <c r="T922" s="17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</row>
    <row r="923" spans="1:40" x14ac:dyDescent="0.35">
      <c r="A923" s="14"/>
      <c r="B923" s="1"/>
      <c r="C923" s="1"/>
      <c r="D923" s="1"/>
      <c r="E923" s="50"/>
      <c r="F923" s="50"/>
      <c r="G923" s="50"/>
      <c r="H923" s="50"/>
      <c r="I923" s="50"/>
      <c r="J923" s="50"/>
      <c r="K923" s="50"/>
      <c r="L923" s="50"/>
      <c r="M923" s="50"/>
      <c r="N923" s="50"/>
      <c r="O923" s="50"/>
      <c r="P923" s="50"/>
      <c r="Q923" s="50"/>
      <c r="R923" s="50"/>
      <c r="S923" s="53"/>
      <c r="T923" s="17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</row>
    <row r="924" spans="1:40" x14ac:dyDescent="0.35">
      <c r="A924" s="13"/>
      <c r="B924" s="10"/>
      <c r="C924" s="10"/>
      <c r="D924" s="10"/>
      <c r="E924" s="52"/>
      <c r="F924" s="52"/>
      <c r="G924" s="52"/>
      <c r="H924" s="52"/>
      <c r="I924" s="52"/>
      <c r="J924" s="52"/>
      <c r="K924" s="52"/>
      <c r="L924" s="52"/>
      <c r="M924" s="52"/>
      <c r="N924" s="52"/>
      <c r="O924" s="52"/>
      <c r="P924" s="52"/>
      <c r="Q924" s="52"/>
      <c r="R924" s="52"/>
      <c r="S924" s="52"/>
      <c r="T924" s="17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</row>
    <row r="925" spans="1:40" x14ac:dyDescent="0.35">
      <c r="A925" s="14"/>
      <c r="B925" s="11"/>
      <c r="C925" s="11"/>
      <c r="D925" s="11"/>
      <c r="E925" s="53"/>
      <c r="F925" s="53"/>
      <c r="G925" s="53"/>
      <c r="H925" s="53"/>
      <c r="I925" s="53"/>
      <c r="J925" s="53"/>
      <c r="K925" s="53"/>
      <c r="L925" s="53"/>
      <c r="M925" s="53"/>
      <c r="N925" s="53"/>
      <c r="O925" s="53"/>
      <c r="P925" s="53"/>
      <c r="Q925" s="53"/>
      <c r="R925" s="53"/>
      <c r="S925" s="53"/>
      <c r="T925" s="17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</row>
    <row r="926" spans="1:40" x14ac:dyDescent="0.35">
      <c r="A926" s="13"/>
      <c r="B926" s="10"/>
      <c r="C926" s="10"/>
      <c r="D926" s="10"/>
      <c r="E926" s="52"/>
      <c r="F926" s="52"/>
      <c r="G926" s="52"/>
      <c r="H926" s="52"/>
      <c r="I926" s="52"/>
      <c r="J926" s="52"/>
      <c r="K926" s="52"/>
      <c r="L926" s="52"/>
      <c r="M926" s="52"/>
      <c r="N926" s="52"/>
      <c r="O926" s="52"/>
      <c r="P926" s="52"/>
      <c r="Q926" s="52"/>
      <c r="R926" s="52"/>
      <c r="S926" s="52"/>
      <c r="T926" s="17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</row>
    <row r="927" spans="1:40" x14ac:dyDescent="0.35">
      <c r="A927" s="14"/>
      <c r="B927" s="11"/>
      <c r="C927" s="11"/>
      <c r="D927" s="11"/>
      <c r="E927" s="53"/>
      <c r="F927" s="53"/>
      <c r="G927" s="53"/>
      <c r="H927" s="53"/>
      <c r="I927" s="53"/>
      <c r="J927" s="53"/>
      <c r="K927" s="53"/>
      <c r="L927" s="53"/>
      <c r="M927" s="53"/>
      <c r="N927" s="53"/>
      <c r="O927" s="53"/>
      <c r="P927" s="53"/>
      <c r="Q927" s="53"/>
      <c r="R927" s="53"/>
      <c r="S927" s="53"/>
      <c r="T927" s="17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</row>
    <row r="928" spans="1:40" x14ac:dyDescent="0.35">
      <c r="A928" s="13"/>
      <c r="B928" s="10"/>
      <c r="C928" s="10"/>
      <c r="D928" s="10"/>
      <c r="E928" s="52"/>
      <c r="F928" s="52"/>
      <c r="G928" s="52"/>
      <c r="H928" s="52"/>
      <c r="I928" s="52"/>
      <c r="J928" s="52"/>
      <c r="K928" s="52"/>
      <c r="L928" s="52"/>
      <c r="M928" s="52"/>
      <c r="N928" s="52"/>
      <c r="O928" s="52"/>
      <c r="P928" s="52"/>
      <c r="Q928" s="52"/>
      <c r="R928" s="52"/>
      <c r="S928" s="52"/>
      <c r="T928" s="17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</row>
    <row r="929" spans="1:40" x14ac:dyDescent="0.35">
      <c r="A929" s="14"/>
      <c r="B929" s="1"/>
      <c r="C929" s="1"/>
      <c r="D929" s="1"/>
      <c r="E929" s="50"/>
      <c r="F929" s="50"/>
      <c r="G929" s="50"/>
      <c r="H929" s="50"/>
      <c r="I929" s="50"/>
      <c r="J929" s="50"/>
      <c r="K929" s="50"/>
      <c r="L929" s="50"/>
      <c r="M929" s="50"/>
      <c r="N929" s="50"/>
      <c r="O929" s="50"/>
      <c r="P929" s="50"/>
      <c r="Q929" s="50"/>
      <c r="R929" s="50"/>
      <c r="S929" s="50"/>
      <c r="T929" s="17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</row>
    <row r="930" spans="1:40" x14ac:dyDescent="0.35">
      <c r="A930" s="13"/>
      <c r="B930" s="10"/>
      <c r="C930" s="10"/>
      <c r="D930" s="10"/>
      <c r="E930" s="52"/>
      <c r="F930" s="52"/>
      <c r="G930" s="52"/>
      <c r="H930" s="52"/>
      <c r="I930" s="52"/>
      <c r="J930" s="52"/>
      <c r="K930" s="52"/>
      <c r="L930" s="52"/>
      <c r="M930" s="52"/>
      <c r="N930" s="52"/>
      <c r="O930" s="52"/>
      <c r="P930" s="52"/>
      <c r="Q930" s="52"/>
      <c r="R930" s="52"/>
      <c r="S930" s="52"/>
      <c r="T930" s="17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</row>
    <row r="931" spans="1:40" x14ac:dyDescent="0.35">
      <c r="A931" s="14"/>
      <c r="B931" s="1"/>
      <c r="C931" s="1"/>
      <c r="D931" s="1"/>
      <c r="E931" s="50"/>
      <c r="F931" s="50"/>
      <c r="G931" s="50"/>
      <c r="H931" s="50"/>
      <c r="I931" s="50"/>
      <c r="J931" s="50"/>
      <c r="K931" s="50"/>
      <c r="L931" s="50"/>
      <c r="M931" s="50"/>
      <c r="N931" s="50"/>
      <c r="O931" s="50"/>
      <c r="P931" s="50"/>
      <c r="Q931" s="50"/>
      <c r="R931" s="50"/>
      <c r="S931" s="50"/>
      <c r="T931" s="17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</row>
    <row r="932" spans="1:40" x14ac:dyDescent="0.35">
      <c r="A932" s="13"/>
      <c r="B932" s="10"/>
      <c r="C932" s="10"/>
      <c r="D932" s="10"/>
      <c r="E932" s="52"/>
      <c r="F932" s="52"/>
      <c r="G932" s="52"/>
      <c r="H932" s="52"/>
      <c r="I932" s="52"/>
      <c r="J932" s="52"/>
      <c r="K932" s="52"/>
      <c r="L932" s="52"/>
      <c r="M932" s="52"/>
      <c r="N932" s="52"/>
      <c r="O932" s="52"/>
      <c r="P932" s="52"/>
      <c r="Q932" s="52"/>
      <c r="R932" s="52"/>
      <c r="S932" s="52"/>
      <c r="T932" s="17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</row>
    <row r="933" spans="1:40" x14ac:dyDescent="0.35">
      <c r="A933" s="14"/>
      <c r="B933" s="11"/>
      <c r="C933" s="11"/>
      <c r="D933" s="11"/>
      <c r="E933" s="53"/>
      <c r="F933" s="53"/>
      <c r="G933" s="53"/>
      <c r="H933" s="53"/>
      <c r="I933" s="53"/>
      <c r="J933" s="53"/>
      <c r="K933" s="53"/>
      <c r="L933" s="53"/>
      <c r="M933" s="53"/>
      <c r="N933" s="53"/>
      <c r="O933" s="53"/>
      <c r="P933" s="53"/>
      <c r="Q933" s="53"/>
      <c r="R933" s="53"/>
      <c r="S933" s="53"/>
      <c r="T933" s="17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</row>
    <row r="934" spans="1:40" x14ac:dyDescent="0.35">
      <c r="A934" s="13"/>
      <c r="B934" s="10"/>
      <c r="C934" s="10"/>
      <c r="D934" s="10"/>
      <c r="E934" s="52"/>
      <c r="F934" s="52"/>
      <c r="G934" s="52"/>
      <c r="H934" s="52"/>
      <c r="I934" s="52"/>
      <c r="J934" s="52"/>
      <c r="K934" s="52"/>
      <c r="L934" s="52"/>
      <c r="M934" s="52"/>
      <c r="N934" s="52"/>
      <c r="O934" s="52"/>
      <c r="P934" s="52"/>
      <c r="Q934" s="52"/>
      <c r="R934" s="52"/>
      <c r="S934" s="52"/>
      <c r="T934" s="17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</row>
    <row r="935" spans="1:40" x14ac:dyDescent="0.35">
      <c r="A935" s="14"/>
      <c r="B935" s="11"/>
      <c r="C935" s="11"/>
      <c r="D935" s="11"/>
      <c r="E935" s="53"/>
      <c r="F935" s="53"/>
      <c r="G935" s="53"/>
      <c r="H935" s="53"/>
      <c r="I935" s="53"/>
      <c r="J935" s="53"/>
      <c r="K935" s="53"/>
      <c r="L935" s="53"/>
      <c r="M935" s="53"/>
      <c r="N935" s="53"/>
      <c r="O935" s="53"/>
      <c r="P935" s="53"/>
      <c r="Q935" s="53"/>
      <c r="R935" s="53"/>
      <c r="S935" s="53"/>
      <c r="T935" s="17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</row>
    <row r="936" spans="1:40" x14ac:dyDescent="0.35">
      <c r="A936" s="13"/>
      <c r="B936" s="10"/>
      <c r="C936" s="10"/>
      <c r="D936" s="10"/>
      <c r="E936" s="52"/>
      <c r="F936" s="52"/>
      <c r="G936" s="52"/>
      <c r="H936" s="52"/>
      <c r="I936" s="52"/>
      <c r="J936" s="52"/>
      <c r="K936" s="52"/>
      <c r="L936" s="52"/>
      <c r="M936" s="52"/>
      <c r="N936" s="52"/>
      <c r="O936" s="52"/>
      <c r="P936" s="52"/>
      <c r="Q936" s="52"/>
      <c r="R936" s="52"/>
      <c r="S936" s="52"/>
      <c r="T936" s="17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</row>
    <row r="937" spans="1:40" x14ac:dyDescent="0.35">
      <c r="A937" s="14"/>
      <c r="B937" s="1"/>
      <c r="C937" s="1"/>
      <c r="D937" s="1"/>
      <c r="E937" s="50"/>
      <c r="F937" s="50"/>
      <c r="G937" s="50"/>
      <c r="H937" s="50"/>
      <c r="I937" s="50"/>
      <c r="J937" s="50"/>
      <c r="K937" s="50"/>
      <c r="L937" s="50"/>
      <c r="M937" s="50"/>
      <c r="N937" s="50"/>
      <c r="O937" s="50"/>
      <c r="P937" s="50"/>
      <c r="Q937" s="50"/>
      <c r="R937" s="50"/>
      <c r="S937" s="50"/>
      <c r="T937" s="17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</row>
    <row r="938" spans="1:40" x14ac:dyDescent="0.35">
      <c r="A938" s="13"/>
      <c r="B938" s="10"/>
      <c r="C938" s="10"/>
      <c r="D938" s="10"/>
      <c r="E938" s="52"/>
      <c r="F938" s="52"/>
      <c r="G938" s="52"/>
      <c r="H938" s="52"/>
      <c r="I938" s="52"/>
      <c r="J938" s="52"/>
      <c r="K938" s="52"/>
      <c r="L938" s="52"/>
      <c r="M938" s="52"/>
      <c r="N938" s="52"/>
      <c r="O938" s="52"/>
      <c r="P938" s="52"/>
      <c r="Q938" s="52"/>
      <c r="R938" s="52"/>
      <c r="S938" s="52"/>
      <c r="T938" s="17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</row>
    <row r="939" spans="1:40" x14ac:dyDescent="0.35">
      <c r="A939" s="14"/>
      <c r="B939" s="1"/>
      <c r="C939" s="1"/>
      <c r="D939" s="1"/>
      <c r="E939" s="50"/>
      <c r="F939" s="50"/>
      <c r="G939" s="50"/>
      <c r="H939" s="50"/>
      <c r="I939" s="50"/>
      <c r="J939" s="50"/>
      <c r="K939" s="50"/>
      <c r="L939" s="50"/>
      <c r="M939" s="50"/>
      <c r="N939" s="50"/>
      <c r="O939" s="50"/>
      <c r="P939" s="50"/>
      <c r="Q939" s="50"/>
      <c r="R939" s="50"/>
      <c r="S939" s="50"/>
      <c r="T939" s="17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</row>
    <row r="940" spans="1:40" x14ac:dyDescent="0.35">
      <c r="A940" s="13"/>
      <c r="B940" s="10"/>
      <c r="C940" s="10"/>
      <c r="D940" s="10"/>
      <c r="E940" s="52"/>
      <c r="F940" s="52"/>
      <c r="G940" s="52"/>
      <c r="H940" s="52"/>
      <c r="I940" s="52"/>
      <c r="J940" s="52"/>
      <c r="K940" s="52"/>
      <c r="L940" s="52"/>
      <c r="M940" s="52"/>
      <c r="N940" s="52"/>
      <c r="O940" s="52"/>
      <c r="P940" s="52"/>
      <c r="Q940" s="52"/>
      <c r="R940" s="52"/>
      <c r="S940" s="52"/>
      <c r="T940" s="17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</row>
    <row r="941" spans="1:40" x14ac:dyDescent="0.35">
      <c r="A941" s="14"/>
      <c r="B941" s="1"/>
      <c r="C941" s="1"/>
      <c r="D941" s="1"/>
      <c r="E941" s="50"/>
      <c r="F941" s="50"/>
      <c r="G941" s="50"/>
      <c r="H941" s="50"/>
      <c r="I941" s="50"/>
      <c r="J941" s="50"/>
      <c r="K941" s="50"/>
      <c r="L941" s="50"/>
      <c r="M941" s="50"/>
      <c r="N941" s="50"/>
      <c r="O941" s="50"/>
      <c r="P941" s="50"/>
      <c r="Q941" s="50"/>
      <c r="R941" s="50"/>
      <c r="S941" s="50"/>
      <c r="T941" s="17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</row>
    <row r="942" spans="1:40" x14ac:dyDescent="0.35">
      <c r="A942" s="13"/>
      <c r="B942" s="10"/>
      <c r="C942" s="10"/>
      <c r="D942" s="10"/>
      <c r="E942" s="52"/>
      <c r="F942" s="52"/>
      <c r="G942" s="52"/>
      <c r="H942" s="52"/>
      <c r="I942" s="52"/>
      <c r="J942" s="52"/>
      <c r="K942" s="52"/>
      <c r="L942" s="52"/>
      <c r="M942" s="52"/>
      <c r="N942" s="52"/>
      <c r="O942" s="52"/>
      <c r="P942" s="52"/>
      <c r="Q942" s="52"/>
      <c r="R942" s="52"/>
      <c r="S942" s="52"/>
      <c r="T942" s="17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</row>
    <row r="943" spans="1:40" x14ac:dyDescent="0.35">
      <c r="A943" s="14"/>
      <c r="B943" s="1"/>
      <c r="C943" s="1"/>
      <c r="D943" s="1"/>
      <c r="E943" s="50"/>
      <c r="F943" s="50"/>
      <c r="G943" s="50"/>
      <c r="H943" s="50"/>
      <c r="I943" s="50"/>
      <c r="J943" s="50"/>
      <c r="K943" s="50"/>
      <c r="L943" s="50"/>
      <c r="M943" s="50"/>
      <c r="N943" s="50"/>
      <c r="O943" s="50"/>
      <c r="P943" s="50"/>
      <c r="Q943" s="50"/>
      <c r="R943" s="50"/>
      <c r="S943" s="50"/>
      <c r="T943" s="17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</row>
    <row r="944" spans="1:40" x14ac:dyDescent="0.35">
      <c r="A944" s="13"/>
      <c r="B944" s="10"/>
      <c r="C944" s="10"/>
      <c r="D944" s="10"/>
      <c r="E944" s="52"/>
      <c r="F944" s="52"/>
      <c r="G944" s="52"/>
      <c r="H944" s="52"/>
      <c r="I944" s="52"/>
      <c r="J944" s="52"/>
      <c r="K944" s="52"/>
      <c r="L944" s="52"/>
      <c r="M944" s="52"/>
      <c r="N944" s="52"/>
      <c r="O944" s="52"/>
      <c r="P944" s="52"/>
      <c r="Q944" s="52"/>
      <c r="R944" s="52"/>
      <c r="S944" s="52"/>
      <c r="T944" s="17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</row>
    <row r="945" spans="1:40" x14ac:dyDescent="0.35">
      <c r="A945" s="14"/>
      <c r="B945" s="1"/>
      <c r="C945" s="1"/>
      <c r="D945" s="1"/>
      <c r="E945" s="50"/>
      <c r="F945" s="50"/>
      <c r="G945" s="50"/>
      <c r="H945" s="50"/>
      <c r="I945" s="50"/>
      <c r="J945" s="50"/>
      <c r="K945" s="50"/>
      <c r="L945" s="50"/>
      <c r="M945" s="50"/>
      <c r="N945" s="50"/>
      <c r="O945" s="50"/>
      <c r="P945" s="50"/>
      <c r="Q945" s="50"/>
      <c r="R945" s="50"/>
      <c r="S945" s="50"/>
      <c r="T945" s="17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</row>
    <row r="946" spans="1:40" x14ac:dyDescent="0.35">
      <c r="A946" s="13"/>
      <c r="B946" s="10"/>
      <c r="C946" s="10"/>
      <c r="D946" s="10"/>
      <c r="E946" s="52"/>
      <c r="F946" s="52"/>
      <c r="G946" s="52"/>
      <c r="H946" s="52"/>
      <c r="I946" s="52"/>
      <c r="J946" s="52"/>
      <c r="K946" s="52"/>
      <c r="L946" s="52"/>
      <c r="M946" s="52"/>
      <c r="N946" s="52"/>
      <c r="O946" s="52"/>
      <c r="P946" s="52"/>
      <c r="Q946" s="52"/>
      <c r="R946" s="52"/>
      <c r="S946" s="52"/>
      <c r="T946" s="17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</row>
    <row r="947" spans="1:40" x14ac:dyDescent="0.35">
      <c r="A947" s="14"/>
      <c r="B947" s="11"/>
      <c r="C947" s="11"/>
      <c r="D947" s="11"/>
      <c r="E947" s="53"/>
      <c r="F947" s="53"/>
      <c r="G947" s="53"/>
      <c r="H947" s="53"/>
      <c r="I947" s="53"/>
      <c r="J947" s="53"/>
      <c r="K947" s="53"/>
      <c r="L947" s="53"/>
      <c r="M947" s="53"/>
      <c r="N947" s="53"/>
      <c r="O947" s="53"/>
      <c r="P947" s="53"/>
      <c r="Q947" s="53"/>
      <c r="R947" s="53"/>
      <c r="S947" s="53"/>
      <c r="T947" s="17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</row>
    <row r="948" spans="1:40" x14ac:dyDescent="0.35">
      <c r="A948" s="13"/>
      <c r="B948" s="10"/>
      <c r="C948" s="10"/>
      <c r="D948" s="10"/>
      <c r="E948" s="52"/>
      <c r="F948" s="52"/>
      <c r="G948" s="52"/>
      <c r="H948" s="52"/>
      <c r="I948" s="52"/>
      <c r="J948" s="52"/>
      <c r="K948" s="52"/>
      <c r="L948" s="52"/>
      <c r="M948" s="52"/>
      <c r="N948" s="52"/>
      <c r="O948" s="52"/>
      <c r="P948" s="52"/>
      <c r="Q948" s="52"/>
      <c r="R948" s="52"/>
      <c r="S948" s="52"/>
      <c r="T948" s="17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</row>
    <row r="949" spans="1:40" x14ac:dyDescent="0.35">
      <c r="A949" s="14"/>
      <c r="B949" s="1"/>
      <c r="C949" s="1"/>
      <c r="D949" s="1"/>
      <c r="E949" s="50"/>
      <c r="F949" s="50"/>
      <c r="G949" s="50"/>
      <c r="H949" s="50"/>
      <c r="I949" s="50"/>
      <c r="J949" s="50"/>
      <c r="K949" s="50"/>
      <c r="L949" s="50"/>
      <c r="M949" s="50"/>
      <c r="N949" s="50"/>
      <c r="O949" s="50"/>
      <c r="P949" s="50"/>
      <c r="Q949" s="50"/>
      <c r="R949" s="50"/>
      <c r="S949" s="50"/>
      <c r="T949" s="17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</row>
    <row r="950" spans="1:40" x14ac:dyDescent="0.35">
      <c r="A950" s="13"/>
      <c r="B950" s="10"/>
      <c r="C950" s="10"/>
      <c r="D950" s="10"/>
      <c r="E950" s="52"/>
      <c r="F950" s="52"/>
      <c r="G950" s="52"/>
      <c r="H950" s="52"/>
      <c r="I950" s="52"/>
      <c r="J950" s="52"/>
      <c r="K950" s="52"/>
      <c r="L950" s="52"/>
      <c r="M950" s="52"/>
      <c r="N950" s="52"/>
      <c r="O950" s="52"/>
      <c r="P950" s="52"/>
      <c r="Q950" s="52"/>
      <c r="R950" s="52"/>
      <c r="S950" s="52"/>
      <c r="T950" s="17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</row>
    <row r="951" spans="1:40" x14ac:dyDescent="0.35">
      <c r="A951" s="14"/>
      <c r="B951" s="11"/>
      <c r="C951" s="11"/>
      <c r="D951" s="11"/>
      <c r="E951" s="53"/>
      <c r="F951" s="53"/>
      <c r="G951" s="53"/>
      <c r="H951" s="53"/>
      <c r="I951" s="53"/>
      <c r="J951" s="53"/>
      <c r="K951" s="53"/>
      <c r="L951" s="53"/>
      <c r="M951" s="53"/>
      <c r="N951" s="53"/>
      <c r="O951" s="53"/>
      <c r="P951" s="53"/>
      <c r="Q951" s="53"/>
      <c r="R951" s="53"/>
      <c r="S951" s="53"/>
      <c r="T951" s="17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</row>
    <row r="952" spans="1:40" x14ac:dyDescent="0.35">
      <c r="A952" s="13"/>
      <c r="B952" s="10"/>
      <c r="C952" s="10"/>
      <c r="D952" s="10"/>
      <c r="E952" s="52"/>
      <c r="F952" s="52"/>
      <c r="G952" s="52"/>
      <c r="H952" s="52"/>
      <c r="I952" s="52"/>
      <c r="J952" s="52"/>
      <c r="K952" s="52"/>
      <c r="L952" s="52"/>
      <c r="M952" s="52"/>
      <c r="N952" s="52"/>
      <c r="O952" s="52"/>
      <c r="P952" s="52"/>
      <c r="Q952" s="52"/>
      <c r="R952" s="52"/>
      <c r="S952" s="52"/>
      <c r="T952" s="17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</row>
    <row r="953" spans="1:40" x14ac:dyDescent="0.35">
      <c r="A953" s="14"/>
      <c r="B953" s="1"/>
      <c r="C953" s="1"/>
      <c r="D953" s="1"/>
      <c r="E953" s="50"/>
      <c r="F953" s="50"/>
      <c r="G953" s="50"/>
      <c r="H953" s="50"/>
      <c r="I953" s="50"/>
      <c r="J953" s="50"/>
      <c r="K953" s="50"/>
      <c r="L953" s="50"/>
      <c r="M953" s="50"/>
      <c r="N953" s="50"/>
      <c r="O953" s="50"/>
      <c r="P953" s="50"/>
      <c r="Q953" s="50"/>
      <c r="R953" s="50"/>
      <c r="S953" s="50"/>
      <c r="T953" s="17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</row>
    <row r="954" spans="1:40" x14ac:dyDescent="0.35">
      <c r="A954" s="13"/>
      <c r="B954" s="10"/>
      <c r="C954" s="10"/>
      <c r="D954" s="10"/>
      <c r="E954" s="52"/>
      <c r="F954" s="52"/>
      <c r="G954" s="52"/>
      <c r="H954" s="52"/>
      <c r="I954" s="52"/>
      <c r="J954" s="52"/>
      <c r="K954" s="52"/>
      <c r="L954" s="52"/>
      <c r="M954" s="52"/>
      <c r="N954" s="52"/>
      <c r="O954" s="52"/>
      <c r="P954" s="52"/>
      <c r="Q954" s="52"/>
      <c r="R954" s="52"/>
      <c r="S954" s="52"/>
      <c r="T954" s="17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</row>
    <row r="955" spans="1:40" x14ac:dyDescent="0.35">
      <c r="A955" s="14"/>
      <c r="B955" s="11"/>
      <c r="C955" s="11"/>
      <c r="D955" s="11"/>
      <c r="E955" s="53"/>
      <c r="F955" s="53"/>
      <c r="G955" s="53"/>
      <c r="H955" s="53"/>
      <c r="I955" s="53"/>
      <c r="J955" s="53"/>
      <c r="K955" s="53"/>
      <c r="L955" s="53"/>
      <c r="M955" s="53"/>
      <c r="N955" s="53"/>
      <c r="O955" s="53"/>
      <c r="P955" s="53"/>
      <c r="Q955" s="53"/>
      <c r="R955" s="53"/>
      <c r="S955" s="53"/>
      <c r="T955" s="17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</row>
    <row r="956" spans="1:40" x14ac:dyDescent="0.35">
      <c r="A956" s="13"/>
      <c r="B956" s="10"/>
      <c r="C956" s="10"/>
      <c r="D956" s="10"/>
      <c r="E956" s="52"/>
      <c r="F956" s="52"/>
      <c r="G956" s="52"/>
      <c r="H956" s="52"/>
      <c r="I956" s="52"/>
      <c r="J956" s="52"/>
      <c r="K956" s="52"/>
      <c r="L956" s="52"/>
      <c r="M956" s="52"/>
      <c r="N956" s="52"/>
      <c r="O956" s="52"/>
      <c r="P956" s="52"/>
      <c r="Q956" s="52"/>
      <c r="R956" s="52"/>
      <c r="S956" s="52"/>
      <c r="T956" s="17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</row>
    <row r="957" spans="1:40" x14ac:dyDescent="0.35">
      <c r="A957" s="14"/>
      <c r="B957" s="1"/>
      <c r="C957" s="1"/>
      <c r="D957" s="1"/>
      <c r="E957" s="50"/>
      <c r="F957" s="50"/>
      <c r="G957" s="50"/>
      <c r="H957" s="50"/>
      <c r="I957" s="50"/>
      <c r="J957" s="50"/>
      <c r="K957" s="50"/>
      <c r="L957" s="50"/>
      <c r="M957" s="50"/>
      <c r="N957" s="50"/>
      <c r="O957" s="50"/>
      <c r="P957" s="50"/>
      <c r="Q957" s="50"/>
      <c r="R957" s="50"/>
      <c r="S957" s="50"/>
      <c r="T957" s="17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</row>
    <row r="958" spans="1:40" x14ac:dyDescent="0.35">
      <c r="A958" s="13"/>
      <c r="B958" s="10"/>
      <c r="C958" s="10"/>
      <c r="D958" s="10"/>
      <c r="E958" s="52"/>
      <c r="F958" s="52"/>
      <c r="G958" s="52"/>
      <c r="H958" s="52"/>
      <c r="I958" s="52"/>
      <c r="J958" s="52"/>
      <c r="K958" s="52"/>
      <c r="L958" s="52"/>
      <c r="M958" s="52"/>
      <c r="N958" s="52"/>
      <c r="O958" s="52"/>
      <c r="P958" s="52"/>
      <c r="Q958" s="52"/>
      <c r="R958" s="52"/>
      <c r="S958" s="52"/>
      <c r="T958" s="17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</row>
    <row r="959" spans="1:40" x14ac:dyDescent="0.35">
      <c r="A959" s="14"/>
      <c r="B959" s="1"/>
      <c r="C959" s="1"/>
      <c r="D959" s="1"/>
      <c r="E959" s="50"/>
      <c r="F959" s="50"/>
      <c r="G959" s="50"/>
      <c r="H959" s="50"/>
      <c r="I959" s="50"/>
      <c r="J959" s="50"/>
      <c r="K959" s="50"/>
      <c r="L959" s="50"/>
      <c r="M959" s="50"/>
      <c r="N959" s="50"/>
      <c r="O959" s="50"/>
      <c r="P959" s="50"/>
      <c r="Q959" s="50"/>
      <c r="R959" s="50"/>
      <c r="S959" s="53"/>
      <c r="T959" s="17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</row>
    <row r="960" spans="1:40" x14ac:dyDescent="0.35">
      <c r="A960" s="13"/>
      <c r="B960" s="10"/>
      <c r="C960" s="10"/>
      <c r="D960" s="10"/>
      <c r="E960" s="52"/>
      <c r="F960" s="52"/>
      <c r="G960" s="52"/>
      <c r="H960" s="52"/>
      <c r="I960" s="52"/>
      <c r="J960" s="52"/>
      <c r="K960" s="52"/>
      <c r="L960" s="52"/>
      <c r="M960" s="52"/>
      <c r="N960" s="52"/>
      <c r="O960" s="52"/>
      <c r="P960" s="52"/>
      <c r="Q960" s="52"/>
      <c r="R960" s="52"/>
      <c r="S960" s="52"/>
      <c r="T960" s="17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</row>
    <row r="961" spans="1:40" x14ac:dyDescent="0.35">
      <c r="A961" s="14"/>
      <c r="B961" s="1"/>
      <c r="C961" s="1"/>
      <c r="D961" s="1"/>
      <c r="E961" s="50"/>
      <c r="F961" s="50"/>
      <c r="G961" s="50"/>
      <c r="H961" s="50"/>
      <c r="I961" s="50"/>
      <c r="J961" s="50"/>
      <c r="K961" s="50"/>
      <c r="L961" s="50"/>
      <c r="M961" s="50"/>
      <c r="N961" s="50"/>
      <c r="O961" s="50"/>
      <c r="P961" s="50"/>
      <c r="Q961" s="50"/>
      <c r="R961" s="50"/>
      <c r="S961" s="50"/>
      <c r="T961" s="17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</row>
    <row r="962" spans="1:40" x14ac:dyDescent="0.35">
      <c r="A962" s="13"/>
      <c r="B962" s="10"/>
      <c r="C962" s="10"/>
      <c r="D962" s="10"/>
      <c r="E962" s="52"/>
      <c r="F962" s="52"/>
      <c r="G962" s="52"/>
      <c r="H962" s="52"/>
      <c r="I962" s="52"/>
      <c r="J962" s="52"/>
      <c r="K962" s="52"/>
      <c r="L962" s="52"/>
      <c r="M962" s="52"/>
      <c r="N962" s="52"/>
      <c r="O962" s="52"/>
      <c r="P962" s="52"/>
      <c r="Q962" s="52"/>
      <c r="R962" s="52"/>
      <c r="S962" s="52"/>
      <c r="T962" s="17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</row>
    <row r="963" spans="1:40" x14ac:dyDescent="0.35">
      <c r="A963" s="14"/>
      <c r="B963" s="11"/>
      <c r="C963" s="11"/>
      <c r="D963" s="11"/>
      <c r="E963" s="53"/>
      <c r="F963" s="53"/>
      <c r="G963" s="53"/>
      <c r="H963" s="53"/>
      <c r="I963" s="53"/>
      <c r="J963" s="53"/>
      <c r="K963" s="53"/>
      <c r="L963" s="53"/>
      <c r="M963" s="53"/>
      <c r="N963" s="53"/>
      <c r="O963" s="53"/>
      <c r="P963" s="53"/>
      <c r="Q963" s="53"/>
      <c r="R963" s="53"/>
      <c r="S963" s="53"/>
      <c r="T963" s="17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</row>
    <row r="964" spans="1:40" x14ac:dyDescent="0.35">
      <c r="A964" s="13"/>
      <c r="B964" s="10"/>
      <c r="C964" s="10"/>
      <c r="D964" s="10"/>
      <c r="E964" s="52"/>
      <c r="F964" s="52"/>
      <c r="G964" s="52"/>
      <c r="H964" s="52"/>
      <c r="I964" s="52"/>
      <c r="J964" s="52"/>
      <c r="K964" s="52"/>
      <c r="L964" s="52"/>
      <c r="M964" s="52"/>
      <c r="N964" s="52"/>
      <c r="O964" s="52"/>
      <c r="P964" s="52"/>
      <c r="Q964" s="52"/>
      <c r="R964" s="52"/>
      <c r="S964" s="52"/>
      <c r="T964" s="17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</row>
    <row r="965" spans="1:40" x14ac:dyDescent="0.35">
      <c r="A965" s="14"/>
      <c r="B965" s="1"/>
      <c r="C965" s="1"/>
      <c r="D965" s="1"/>
      <c r="E965" s="50"/>
      <c r="F965" s="50"/>
      <c r="G965" s="50"/>
      <c r="H965" s="50"/>
      <c r="I965" s="50"/>
      <c r="J965" s="50"/>
      <c r="K965" s="50"/>
      <c r="L965" s="50"/>
      <c r="M965" s="50"/>
      <c r="N965" s="50"/>
      <c r="O965" s="50"/>
      <c r="P965" s="50"/>
      <c r="Q965" s="50"/>
      <c r="R965" s="50"/>
      <c r="S965" s="50"/>
      <c r="T965" s="17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</row>
    <row r="966" spans="1:40" x14ac:dyDescent="0.35">
      <c r="A966" s="13"/>
      <c r="B966" s="10"/>
      <c r="C966" s="10"/>
      <c r="D966" s="10"/>
      <c r="E966" s="52"/>
      <c r="F966" s="52"/>
      <c r="G966" s="52"/>
      <c r="H966" s="52"/>
      <c r="I966" s="52"/>
      <c r="J966" s="52"/>
      <c r="K966" s="52"/>
      <c r="L966" s="52"/>
      <c r="M966" s="52"/>
      <c r="N966" s="52"/>
      <c r="O966" s="52"/>
      <c r="P966" s="52"/>
      <c r="Q966" s="52"/>
      <c r="R966" s="52"/>
      <c r="S966" s="52"/>
      <c r="T966" s="17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</row>
    <row r="967" spans="1:40" x14ac:dyDescent="0.35">
      <c r="A967" s="14"/>
      <c r="B967" s="1"/>
      <c r="C967" s="1"/>
      <c r="D967" s="1"/>
      <c r="E967" s="50"/>
      <c r="F967" s="50"/>
      <c r="G967" s="50"/>
      <c r="H967" s="50"/>
      <c r="I967" s="50"/>
      <c r="J967" s="50"/>
      <c r="K967" s="50"/>
      <c r="L967" s="50"/>
      <c r="M967" s="50"/>
      <c r="N967" s="50"/>
      <c r="O967" s="50"/>
      <c r="P967" s="50"/>
      <c r="Q967" s="50"/>
      <c r="R967" s="50"/>
      <c r="S967" s="50"/>
      <c r="T967" s="17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</row>
    <row r="968" spans="1:40" x14ac:dyDescent="0.35">
      <c r="A968" s="13"/>
      <c r="B968" s="10"/>
      <c r="C968" s="10"/>
      <c r="D968" s="10"/>
      <c r="E968" s="52"/>
      <c r="F968" s="52"/>
      <c r="G968" s="52"/>
      <c r="H968" s="52"/>
      <c r="I968" s="52"/>
      <c r="J968" s="52"/>
      <c r="K968" s="52"/>
      <c r="L968" s="52"/>
      <c r="M968" s="52"/>
      <c r="N968" s="52"/>
      <c r="O968" s="52"/>
      <c r="P968" s="52"/>
      <c r="Q968" s="52"/>
      <c r="R968" s="52"/>
      <c r="S968" s="52"/>
      <c r="T968" s="17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</row>
    <row r="969" spans="1:40" x14ac:dyDescent="0.35">
      <c r="A969" s="14"/>
      <c r="B969" s="11"/>
      <c r="C969" s="11"/>
      <c r="D969" s="11"/>
      <c r="E969" s="53"/>
      <c r="F969" s="53"/>
      <c r="G969" s="53"/>
      <c r="H969" s="53"/>
      <c r="I969" s="53"/>
      <c r="J969" s="53"/>
      <c r="K969" s="53"/>
      <c r="L969" s="53"/>
      <c r="M969" s="53"/>
      <c r="N969" s="53"/>
      <c r="O969" s="53"/>
      <c r="P969" s="53"/>
      <c r="Q969" s="53"/>
      <c r="R969" s="53"/>
      <c r="S969" s="53"/>
      <c r="T969" s="17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</row>
    <row r="970" spans="1:40" x14ac:dyDescent="0.35">
      <c r="A970" s="13"/>
      <c r="B970" s="10"/>
      <c r="C970" s="10"/>
      <c r="D970" s="10"/>
      <c r="E970" s="52"/>
      <c r="F970" s="52"/>
      <c r="G970" s="52"/>
      <c r="H970" s="52"/>
      <c r="I970" s="52"/>
      <c r="J970" s="52"/>
      <c r="K970" s="52"/>
      <c r="L970" s="52"/>
      <c r="M970" s="52"/>
      <c r="N970" s="52"/>
      <c r="O970" s="52"/>
      <c r="P970" s="52"/>
      <c r="Q970" s="52"/>
      <c r="R970" s="52"/>
      <c r="S970" s="52"/>
      <c r="T970" s="17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</row>
    <row r="971" spans="1:40" x14ac:dyDescent="0.35">
      <c r="A971" s="14"/>
      <c r="B971" s="1"/>
      <c r="C971" s="1"/>
      <c r="D971" s="1"/>
      <c r="E971" s="50"/>
      <c r="F971" s="50"/>
      <c r="G971" s="50"/>
      <c r="H971" s="50"/>
      <c r="I971" s="50"/>
      <c r="J971" s="50"/>
      <c r="K971" s="50"/>
      <c r="L971" s="50"/>
      <c r="M971" s="50"/>
      <c r="N971" s="50"/>
      <c r="O971" s="50"/>
      <c r="P971" s="50"/>
      <c r="Q971" s="50"/>
      <c r="R971" s="50"/>
      <c r="S971" s="50"/>
      <c r="T971" s="17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</row>
    <row r="972" spans="1:40" x14ac:dyDescent="0.35">
      <c r="A972" s="13"/>
      <c r="B972" s="10"/>
      <c r="C972" s="10"/>
      <c r="D972" s="10"/>
      <c r="E972" s="52"/>
      <c r="F972" s="52"/>
      <c r="G972" s="52"/>
      <c r="H972" s="52"/>
      <c r="I972" s="52"/>
      <c r="J972" s="52"/>
      <c r="K972" s="52"/>
      <c r="L972" s="52"/>
      <c r="M972" s="52"/>
      <c r="N972" s="52"/>
      <c r="O972" s="52"/>
      <c r="P972" s="52"/>
      <c r="Q972" s="52"/>
      <c r="R972" s="52"/>
      <c r="S972" s="52"/>
      <c r="T972" s="17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</row>
    <row r="973" spans="1:40" x14ac:dyDescent="0.35">
      <c r="A973" s="14"/>
      <c r="B973" s="1"/>
      <c r="C973" s="1"/>
      <c r="D973" s="1"/>
      <c r="E973" s="50"/>
      <c r="F973" s="50"/>
      <c r="G973" s="50"/>
      <c r="H973" s="50"/>
      <c r="I973" s="50"/>
      <c r="J973" s="50"/>
      <c r="K973" s="50"/>
      <c r="L973" s="50"/>
      <c r="M973" s="50"/>
      <c r="N973" s="50"/>
      <c r="O973" s="50"/>
      <c r="P973" s="50"/>
      <c r="Q973" s="50"/>
      <c r="R973" s="50"/>
      <c r="S973" s="50"/>
      <c r="T973" s="17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</row>
    <row r="974" spans="1:40" x14ac:dyDescent="0.35">
      <c r="A974" s="13"/>
      <c r="B974" s="10"/>
      <c r="C974" s="10"/>
      <c r="D974" s="10"/>
      <c r="E974" s="52"/>
      <c r="F974" s="52"/>
      <c r="G974" s="52"/>
      <c r="H974" s="52"/>
      <c r="I974" s="52"/>
      <c r="J974" s="52"/>
      <c r="K974" s="52"/>
      <c r="L974" s="52"/>
      <c r="M974" s="52"/>
      <c r="N974" s="52"/>
      <c r="O974" s="52"/>
      <c r="P974" s="52"/>
      <c r="Q974" s="52"/>
      <c r="R974" s="52"/>
      <c r="S974" s="52"/>
      <c r="T974" s="17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</row>
    <row r="975" spans="1:40" x14ac:dyDescent="0.35">
      <c r="A975" s="14"/>
      <c r="B975" s="11"/>
      <c r="C975" s="11"/>
      <c r="D975" s="11"/>
      <c r="E975" s="53"/>
      <c r="F975" s="53"/>
      <c r="G975" s="53"/>
      <c r="H975" s="53"/>
      <c r="I975" s="53"/>
      <c r="J975" s="53"/>
      <c r="K975" s="53"/>
      <c r="L975" s="53"/>
      <c r="M975" s="53"/>
      <c r="N975" s="53"/>
      <c r="O975" s="53"/>
      <c r="P975" s="53"/>
      <c r="Q975" s="53"/>
      <c r="R975" s="53"/>
      <c r="S975" s="53"/>
      <c r="T975" s="17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</row>
    <row r="976" spans="1:40" x14ac:dyDescent="0.35">
      <c r="A976" s="13"/>
      <c r="B976" s="10"/>
      <c r="C976" s="10"/>
      <c r="D976" s="10"/>
      <c r="E976" s="52"/>
      <c r="F976" s="52"/>
      <c r="G976" s="52"/>
      <c r="H976" s="52"/>
      <c r="I976" s="52"/>
      <c r="J976" s="52"/>
      <c r="K976" s="52"/>
      <c r="L976" s="52"/>
      <c r="M976" s="52"/>
      <c r="N976" s="52"/>
      <c r="O976" s="52"/>
      <c r="P976" s="52"/>
      <c r="Q976" s="52"/>
      <c r="R976" s="52"/>
      <c r="S976" s="52"/>
      <c r="T976" s="17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</row>
    <row r="977" spans="1:40" x14ac:dyDescent="0.35">
      <c r="A977" s="14"/>
      <c r="B977" s="11"/>
      <c r="C977" s="11"/>
      <c r="D977" s="11"/>
      <c r="E977" s="53"/>
      <c r="F977" s="53"/>
      <c r="G977" s="53"/>
      <c r="H977" s="53"/>
      <c r="I977" s="53"/>
      <c r="J977" s="53"/>
      <c r="K977" s="53"/>
      <c r="L977" s="53"/>
      <c r="M977" s="53"/>
      <c r="N977" s="53"/>
      <c r="O977" s="53"/>
      <c r="P977" s="53"/>
      <c r="Q977" s="53"/>
      <c r="R977" s="53"/>
      <c r="S977" s="53"/>
      <c r="T977" s="17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</row>
    <row r="978" spans="1:40" x14ac:dyDescent="0.35">
      <c r="A978" s="13"/>
      <c r="B978" s="10"/>
      <c r="C978" s="10"/>
      <c r="D978" s="10"/>
      <c r="E978" s="52"/>
      <c r="F978" s="52"/>
      <c r="G978" s="52"/>
      <c r="H978" s="52"/>
      <c r="I978" s="52"/>
      <c r="J978" s="52"/>
      <c r="K978" s="52"/>
      <c r="L978" s="52"/>
      <c r="M978" s="52"/>
      <c r="N978" s="52"/>
      <c r="O978" s="52"/>
      <c r="P978" s="52"/>
      <c r="Q978" s="52"/>
      <c r="R978" s="52"/>
      <c r="S978" s="52"/>
      <c r="T978" s="17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</row>
    <row r="979" spans="1:40" x14ac:dyDescent="0.35">
      <c r="A979" s="14"/>
      <c r="B979" s="11"/>
      <c r="C979" s="11"/>
      <c r="D979" s="11"/>
      <c r="E979" s="53"/>
      <c r="F979" s="53"/>
      <c r="G979" s="53"/>
      <c r="H979" s="53"/>
      <c r="I979" s="53"/>
      <c r="J979" s="53"/>
      <c r="K979" s="53"/>
      <c r="L979" s="53"/>
      <c r="M979" s="53"/>
      <c r="N979" s="53"/>
      <c r="O979" s="53"/>
      <c r="P979" s="53"/>
      <c r="Q979" s="53"/>
      <c r="R979" s="53"/>
      <c r="S979" s="53"/>
      <c r="T979" s="17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</row>
    <row r="980" spans="1:40" x14ac:dyDescent="0.35">
      <c r="A980" s="13"/>
      <c r="B980" s="10"/>
      <c r="C980" s="10"/>
      <c r="D980" s="10"/>
      <c r="E980" s="52"/>
      <c r="F980" s="52"/>
      <c r="G980" s="52"/>
      <c r="H980" s="52"/>
      <c r="I980" s="52"/>
      <c r="J980" s="52"/>
      <c r="K980" s="52"/>
      <c r="L980" s="52"/>
      <c r="M980" s="52"/>
      <c r="N980" s="52"/>
      <c r="O980" s="52"/>
      <c r="P980" s="52"/>
      <c r="Q980" s="52"/>
      <c r="R980" s="52"/>
      <c r="S980" s="52"/>
      <c r="T980" s="17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</row>
    <row r="981" spans="1:40" x14ac:dyDescent="0.35">
      <c r="A981" s="14"/>
      <c r="B981" s="11"/>
      <c r="C981" s="11"/>
      <c r="D981" s="11"/>
      <c r="E981" s="53"/>
      <c r="F981" s="53"/>
      <c r="G981" s="53"/>
      <c r="H981" s="53"/>
      <c r="I981" s="53"/>
      <c r="J981" s="53"/>
      <c r="K981" s="53"/>
      <c r="L981" s="53"/>
      <c r="M981" s="53"/>
      <c r="N981" s="53"/>
      <c r="O981" s="53"/>
      <c r="P981" s="53"/>
      <c r="Q981" s="53"/>
      <c r="R981" s="53"/>
      <c r="S981" s="53"/>
      <c r="T981" s="17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</row>
    <row r="982" spans="1:40" x14ac:dyDescent="0.35">
      <c r="A982" s="13"/>
      <c r="B982" s="10"/>
      <c r="C982" s="10"/>
      <c r="D982" s="10"/>
      <c r="E982" s="52"/>
      <c r="F982" s="52"/>
      <c r="G982" s="52"/>
      <c r="H982" s="52"/>
      <c r="I982" s="52"/>
      <c r="J982" s="52"/>
      <c r="K982" s="52"/>
      <c r="L982" s="52"/>
      <c r="M982" s="52"/>
      <c r="N982" s="52"/>
      <c r="O982" s="52"/>
      <c r="P982" s="52"/>
      <c r="Q982" s="52"/>
      <c r="R982" s="52"/>
      <c r="S982" s="52"/>
      <c r="T982" s="17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</row>
    <row r="983" spans="1:40" x14ac:dyDescent="0.35">
      <c r="A983" s="14"/>
      <c r="B983" s="1"/>
      <c r="C983" s="1"/>
      <c r="D983" s="1"/>
      <c r="E983" s="50"/>
      <c r="F983" s="50"/>
      <c r="G983" s="50"/>
      <c r="H983" s="50"/>
      <c r="I983" s="50"/>
      <c r="J983" s="50"/>
      <c r="K983" s="50"/>
      <c r="L983" s="50"/>
      <c r="M983" s="50"/>
      <c r="N983" s="50"/>
      <c r="O983" s="50"/>
      <c r="P983" s="50"/>
      <c r="Q983" s="50"/>
      <c r="R983" s="50"/>
      <c r="S983" s="50"/>
      <c r="T983" s="17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</row>
    <row r="984" spans="1:40" x14ac:dyDescent="0.35">
      <c r="A984" s="5"/>
      <c r="B984" s="1"/>
      <c r="C984" s="1"/>
      <c r="D984" s="1"/>
      <c r="E984" s="50"/>
      <c r="F984" s="50"/>
      <c r="G984" s="50"/>
      <c r="H984" s="50"/>
      <c r="I984" s="50"/>
      <c r="J984" s="50"/>
      <c r="K984" s="50"/>
      <c r="L984" s="50"/>
      <c r="M984" s="50"/>
      <c r="N984" s="50"/>
      <c r="O984" s="50"/>
      <c r="P984" s="50"/>
      <c r="Q984" s="50"/>
      <c r="R984" s="50"/>
      <c r="S984" s="50"/>
      <c r="T984" s="17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</row>
    <row r="985" spans="1:40" x14ac:dyDescent="0.35">
      <c r="A985" s="5"/>
      <c r="B985" s="1"/>
      <c r="C985" s="1"/>
      <c r="D985" s="1"/>
      <c r="E985" s="50"/>
      <c r="F985" s="50"/>
      <c r="G985" s="50"/>
      <c r="H985" s="50"/>
      <c r="I985" s="50"/>
      <c r="J985" s="50"/>
      <c r="K985" s="50"/>
      <c r="L985" s="50"/>
      <c r="M985" s="50"/>
      <c r="N985" s="50"/>
      <c r="O985" s="50"/>
      <c r="P985" s="50"/>
      <c r="Q985" s="50"/>
      <c r="R985" s="50"/>
      <c r="S985" s="50"/>
      <c r="T985" s="17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</row>
    <row r="986" spans="1:40" x14ac:dyDescent="0.35">
      <c r="A986" s="5"/>
      <c r="B986" s="1"/>
      <c r="C986" s="1"/>
      <c r="D986" s="1"/>
      <c r="E986" s="50"/>
      <c r="F986" s="50"/>
      <c r="G986" s="50"/>
      <c r="H986" s="50"/>
      <c r="I986" s="50"/>
      <c r="J986" s="50"/>
      <c r="K986" s="50"/>
      <c r="L986" s="50"/>
      <c r="M986" s="50"/>
      <c r="N986" s="50"/>
      <c r="O986" s="50"/>
      <c r="P986" s="50"/>
      <c r="Q986" s="50"/>
      <c r="R986" s="50"/>
      <c r="S986" s="50"/>
      <c r="T986" s="17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</row>
    <row r="987" spans="1:40" x14ac:dyDescent="0.35">
      <c r="A987" s="5"/>
      <c r="B987" s="1"/>
      <c r="C987" s="1"/>
      <c r="D987" s="1"/>
      <c r="E987" s="50"/>
      <c r="F987" s="50"/>
      <c r="G987" s="50"/>
      <c r="H987" s="50"/>
      <c r="I987" s="50"/>
      <c r="J987" s="50"/>
      <c r="K987" s="50"/>
      <c r="L987" s="50"/>
      <c r="M987" s="50"/>
      <c r="N987" s="50"/>
      <c r="O987" s="50"/>
      <c r="P987" s="50"/>
      <c r="Q987" s="50"/>
      <c r="R987" s="50"/>
      <c r="S987" s="50"/>
      <c r="T987" s="17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</row>
    <row r="988" spans="1:40" x14ac:dyDescent="0.35">
      <c r="A988" s="5"/>
      <c r="B988" s="1"/>
      <c r="C988" s="1"/>
      <c r="D988" s="1"/>
      <c r="E988" s="50"/>
      <c r="F988" s="50"/>
      <c r="G988" s="50"/>
      <c r="H988" s="50"/>
      <c r="I988" s="50"/>
      <c r="J988" s="50"/>
      <c r="K988" s="50"/>
      <c r="L988" s="50"/>
      <c r="M988" s="50"/>
      <c r="N988" s="50"/>
      <c r="O988" s="50"/>
      <c r="P988" s="50"/>
      <c r="Q988" s="50"/>
      <c r="R988" s="50"/>
      <c r="S988" s="50"/>
      <c r="T988" s="17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</row>
    <row r="989" spans="1:40" x14ac:dyDescent="0.35">
      <c r="A989" s="5"/>
      <c r="B989" s="1"/>
      <c r="C989" s="1"/>
      <c r="D989" s="1"/>
      <c r="E989" s="50"/>
      <c r="F989" s="50"/>
      <c r="G989" s="50"/>
      <c r="H989" s="50"/>
      <c r="I989" s="50"/>
      <c r="J989" s="50"/>
      <c r="K989" s="50"/>
      <c r="L989" s="50"/>
      <c r="M989" s="50"/>
      <c r="N989" s="50"/>
      <c r="O989" s="50"/>
      <c r="P989" s="50"/>
      <c r="Q989" s="50"/>
      <c r="R989" s="50"/>
      <c r="S989" s="50"/>
      <c r="T989" s="17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</row>
    <row r="990" spans="1:40" x14ac:dyDescent="0.35">
      <c r="A990" s="5"/>
      <c r="B990" s="1"/>
      <c r="C990" s="1"/>
      <c r="D990" s="1"/>
      <c r="E990" s="50"/>
      <c r="F990" s="50"/>
      <c r="G990" s="50"/>
      <c r="H990" s="50"/>
      <c r="I990" s="50"/>
      <c r="J990" s="50"/>
      <c r="K990" s="50"/>
      <c r="L990" s="50"/>
      <c r="M990" s="50"/>
      <c r="N990" s="50"/>
      <c r="O990" s="50"/>
      <c r="P990" s="50"/>
      <c r="Q990" s="50"/>
      <c r="R990" s="50"/>
      <c r="S990" s="50"/>
      <c r="T990" s="17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</row>
    <row r="991" spans="1:40" x14ac:dyDescent="0.35">
      <c r="A991" s="5"/>
      <c r="B991" s="1"/>
      <c r="C991" s="1"/>
      <c r="D991" s="1"/>
      <c r="E991" s="50"/>
      <c r="F991" s="50"/>
      <c r="G991" s="50"/>
      <c r="H991" s="50"/>
      <c r="I991" s="50"/>
      <c r="J991" s="50"/>
      <c r="K991" s="50"/>
      <c r="L991" s="50"/>
      <c r="M991" s="50"/>
      <c r="N991" s="50"/>
      <c r="O991" s="50"/>
      <c r="P991" s="50"/>
      <c r="Q991" s="50"/>
      <c r="R991" s="50"/>
      <c r="S991" s="50"/>
      <c r="T991" s="17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</row>
    <row r="992" spans="1:40" x14ac:dyDescent="0.35">
      <c r="A992" s="5"/>
      <c r="B992" s="1"/>
      <c r="C992" s="1"/>
      <c r="D992" s="1"/>
      <c r="E992" s="50"/>
      <c r="F992" s="50"/>
      <c r="G992" s="50"/>
      <c r="H992" s="50"/>
      <c r="I992" s="50"/>
      <c r="J992" s="50"/>
      <c r="K992" s="50"/>
      <c r="L992" s="50"/>
      <c r="M992" s="50"/>
      <c r="N992" s="50"/>
      <c r="O992" s="50"/>
      <c r="P992" s="50"/>
      <c r="Q992" s="50"/>
      <c r="R992" s="50"/>
      <c r="S992" s="50"/>
      <c r="T992" s="17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</row>
    <row r="993" spans="1:40" x14ac:dyDescent="0.35">
      <c r="A993" s="5"/>
      <c r="B993" s="1"/>
      <c r="C993" s="1"/>
      <c r="D993" s="1"/>
      <c r="E993" s="50"/>
      <c r="F993" s="50"/>
      <c r="G993" s="50"/>
      <c r="H993" s="50"/>
      <c r="I993" s="50"/>
      <c r="J993" s="50"/>
      <c r="K993" s="50"/>
      <c r="L993" s="50"/>
      <c r="M993" s="50"/>
      <c r="N993" s="50"/>
      <c r="O993" s="50"/>
      <c r="P993" s="50"/>
      <c r="Q993" s="50"/>
      <c r="R993" s="50"/>
      <c r="S993" s="50"/>
      <c r="T993" s="17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</row>
    <row r="994" spans="1:40" x14ac:dyDescent="0.35">
      <c r="A994" s="5"/>
      <c r="B994" s="1"/>
      <c r="C994" s="1"/>
      <c r="D994" s="1"/>
      <c r="E994" s="50"/>
      <c r="F994" s="50"/>
      <c r="G994" s="50"/>
      <c r="H994" s="50"/>
      <c r="I994" s="50"/>
      <c r="J994" s="50"/>
      <c r="K994" s="50"/>
      <c r="L994" s="50"/>
      <c r="M994" s="50"/>
      <c r="N994" s="50"/>
      <c r="O994" s="50"/>
      <c r="P994" s="50"/>
      <c r="Q994" s="50"/>
      <c r="R994" s="50"/>
      <c r="S994" s="50"/>
      <c r="T994" s="17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</row>
    <row r="995" spans="1:40" x14ac:dyDescent="0.35">
      <c r="A995" s="5"/>
      <c r="B995" s="1"/>
      <c r="C995" s="1"/>
      <c r="D995" s="1"/>
      <c r="E995" s="50"/>
      <c r="F995" s="50"/>
      <c r="G995" s="50"/>
      <c r="H995" s="50"/>
      <c r="I995" s="50"/>
      <c r="J995" s="50"/>
      <c r="K995" s="50"/>
      <c r="L995" s="50"/>
      <c r="M995" s="50"/>
      <c r="N995" s="50"/>
      <c r="O995" s="50"/>
      <c r="P995" s="50"/>
      <c r="Q995" s="50"/>
      <c r="R995" s="50"/>
      <c r="S995" s="50"/>
      <c r="T995" s="17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</row>
    <row r="996" spans="1:40" x14ac:dyDescent="0.35">
      <c r="A996" s="5"/>
      <c r="B996" s="1"/>
      <c r="C996" s="1"/>
      <c r="D996" s="1"/>
      <c r="E996" s="50"/>
      <c r="F996" s="50"/>
      <c r="G996" s="50"/>
      <c r="H996" s="50"/>
      <c r="I996" s="50"/>
      <c r="J996" s="50"/>
      <c r="K996" s="50"/>
      <c r="L996" s="50"/>
      <c r="M996" s="50"/>
      <c r="N996" s="50"/>
      <c r="O996" s="50"/>
      <c r="P996" s="50"/>
      <c r="Q996" s="50"/>
      <c r="R996" s="50"/>
      <c r="S996" s="50"/>
      <c r="T996" s="17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</row>
    <row r="997" spans="1:40" x14ac:dyDescent="0.35">
      <c r="A997" s="5"/>
      <c r="B997" s="1"/>
      <c r="C997" s="1"/>
      <c r="D997" s="1"/>
      <c r="E997" s="50"/>
      <c r="F997" s="50"/>
      <c r="G997" s="50"/>
      <c r="H997" s="50"/>
      <c r="I997" s="50"/>
      <c r="J997" s="50"/>
      <c r="K997" s="50"/>
      <c r="L997" s="50"/>
      <c r="M997" s="50"/>
      <c r="N997" s="50"/>
      <c r="O997" s="50"/>
      <c r="P997" s="50"/>
      <c r="Q997" s="50"/>
      <c r="R997" s="50"/>
      <c r="S997" s="50"/>
      <c r="T997" s="17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</row>
    <row r="998" spans="1:40" x14ac:dyDescent="0.35">
      <c r="A998" s="5"/>
      <c r="B998" s="1"/>
      <c r="C998" s="1"/>
      <c r="D998" s="1"/>
      <c r="E998" s="50"/>
      <c r="F998" s="50"/>
      <c r="G998" s="50"/>
      <c r="H998" s="50"/>
      <c r="I998" s="50"/>
      <c r="J998" s="50"/>
      <c r="K998" s="50"/>
      <c r="L998" s="50"/>
      <c r="M998" s="50"/>
      <c r="N998" s="50"/>
      <c r="O998" s="50"/>
      <c r="P998" s="50"/>
      <c r="Q998" s="50"/>
      <c r="R998" s="50"/>
      <c r="S998" s="50"/>
      <c r="T998" s="17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</row>
    <row r="999" spans="1:40" x14ac:dyDescent="0.35">
      <c r="A999" s="5"/>
      <c r="B999" s="1"/>
      <c r="C999" s="1"/>
      <c r="D999" s="1"/>
      <c r="E999" s="50"/>
      <c r="F999" s="50"/>
      <c r="G999" s="50"/>
      <c r="H999" s="50"/>
      <c r="I999" s="50"/>
      <c r="J999" s="50"/>
      <c r="K999" s="50"/>
      <c r="L999" s="50"/>
      <c r="M999" s="50"/>
      <c r="N999" s="50"/>
      <c r="O999" s="50"/>
      <c r="P999" s="50"/>
      <c r="Q999" s="50"/>
      <c r="R999" s="50"/>
      <c r="S999" s="50"/>
      <c r="T999" s="17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</row>
    <row r="1000" spans="1:40" x14ac:dyDescent="0.35">
      <c r="A1000" s="5"/>
      <c r="B1000" s="1"/>
      <c r="C1000" s="1"/>
      <c r="D1000" s="1"/>
      <c r="E1000" s="50"/>
      <c r="F1000" s="50"/>
      <c r="G1000" s="50"/>
      <c r="H1000" s="50"/>
      <c r="I1000" s="50"/>
      <c r="J1000" s="50"/>
      <c r="K1000" s="50"/>
      <c r="L1000" s="50"/>
      <c r="M1000" s="50"/>
      <c r="N1000" s="50"/>
      <c r="O1000" s="50"/>
      <c r="P1000" s="50"/>
      <c r="Q1000" s="50"/>
      <c r="R1000" s="50"/>
      <c r="S1000" s="50"/>
      <c r="T1000" s="17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</row>
    <row r="1001" spans="1:40" x14ac:dyDescent="0.35">
      <c r="A1001" s="5"/>
      <c r="B1001" s="1"/>
      <c r="C1001" s="1"/>
      <c r="D1001" s="1"/>
      <c r="E1001" s="50"/>
      <c r="F1001" s="50"/>
      <c r="G1001" s="50"/>
      <c r="H1001" s="50"/>
      <c r="I1001" s="50"/>
      <c r="J1001" s="50"/>
      <c r="K1001" s="50"/>
      <c r="L1001" s="50"/>
      <c r="M1001" s="50"/>
      <c r="N1001" s="50"/>
      <c r="O1001" s="50"/>
      <c r="P1001" s="50"/>
      <c r="Q1001" s="50"/>
      <c r="R1001" s="50"/>
      <c r="S1001" s="50"/>
      <c r="T1001" s="17"/>
      <c r="U1001" s="5"/>
      <c r="V1001" s="5"/>
      <c r="W1001" s="5"/>
      <c r="X1001" s="5"/>
      <c r="Y1001" s="5"/>
      <c r="Z1001" s="5"/>
      <c r="AA1001" s="5"/>
      <c r="AB1001" s="5"/>
      <c r="AC1001" s="5"/>
      <c r="AD1001" s="5"/>
      <c r="AE1001" s="5"/>
      <c r="AF1001" s="5"/>
      <c r="AG1001" s="5"/>
      <c r="AH1001" s="5"/>
      <c r="AI1001" s="5"/>
      <c r="AJ1001" s="5"/>
      <c r="AK1001" s="5"/>
      <c r="AL1001" s="5"/>
      <c r="AM1001" s="5"/>
      <c r="AN1001" s="5"/>
    </row>
    <row r="1002" spans="1:40" x14ac:dyDescent="0.35">
      <c r="A1002" s="5"/>
      <c r="B1002" s="1"/>
      <c r="C1002" s="1"/>
      <c r="D1002" s="1"/>
      <c r="E1002" s="50"/>
      <c r="F1002" s="50"/>
      <c r="G1002" s="50"/>
      <c r="H1002" s="50"/>
      <c r="I1002" s="50"/>
      <c r="J1002" s="50"/>
      <c r="K1002" s="50"/>
      <c r="L1002" s="50"/>
      <c r="M1002" s="50"/>
      <c r="N1002" s="50"/>
      <c r="O1002" s="50"/>
      <c r="P1002" s="50"/>
      <c r="Q1002" s="50"/>
      <c r="R1002" s="50"/>
      <c r="S1002" s="50"/>
      <c r="T1002" s="17"/>
      <c r="U1002" s="5"/>
      <c r="V1002" s="5"/>
      <c r="W1002" s="5"/>
      <c r="X1002" s="5"/>
      <c r="Y1002" s="5"/>
      <c r="Z1002" s="5"/>
      <c r="AA1002" s="5"/>
      <c r="AB1002" s="5"/>
      <c r="AC1002" s="5"/>
      <c r="AD1002" s="5"/>
      <c r="AE1002" s="5"/>
      <c r="AF1002" s="5"/>
      <c r="AG1002" s="5"/>
      <c r="AH1002" s="5"/>
      <c r="AI1002" s="5"/>
      <c r="AJ1002" s="5"/>
      <c r="AK1002" s="5"/>
      <c r="AL1002" s="5"/>
      <c r="AM1002" s="5"/>
      <c r="AN1002" s="5"/>
    </row>
    <row r="1003" spans="1:40" x14ac:dyDescent="0.35">
      <c r="A1003" s="5"/>
      <c r="B1003" s="1"/>
      <c r="C1003" s="1"/>
      <c r="D1003" s="1"/>
      <c r="E1003" s="50"/>
      <c r="F1003" s="50"/>
      <c r="G1003" s="50"/>
      <c r="H1003" s="50"/>
      <c r="I1003" s="50"/>
      <c r="J1003" s="50"/>
      <c r="K1003" s="50"/>
      <c r="L1003" s="50"/>
      <c r="M1003" s="50"/>
      <c r="N1003" s="50"/>
      <c r="O1003" s="50"/>
      <c r="P1003" s="50"/>
      <c r="Q1003" s="50"/>
      <c r="R1003" s="50"/>
      <c r="S1003" s="50"/>
      <c r="T1003" s="17"/>
      <c r="U1003" s="5"/>
      <c r="V1003" s="5"/>
      <c r="W1003" s="5"/>
      <c r="X1003" s="5"/>
      <c r="Y1003" s="5"/>
      <c r="Z1003" s="5"/>
      <c r="AA1003" s="5"/>
      <c r="AB1003" s="5"/>
      <c r="AC1003" s="5"/>
      <c r="AD1003" s="5"/>
      <c r="AE1003" s="5"/>
      <c r="AF1003" s="5"/>
      <c r="AG1003" s="5"/>
      <c r="AH1003" s="5"/>
      <c r="AI1003" s="5"/>
      <c r="AJ1003" s="5"/>
      <c r="AK1003" s="5"/>
      <c r="AL1003" s="5"/>
      <c r="AM1003" s="5"/>
      <c r="AN1003" s="5"/>
    </row>
    <row r="1004" spans="1:40" x14ac:dyDescent="0.35">
      <c r="A1004" s="5"/>
      <c r="B1004" s="1"/>
      <c r="C1004" s="1"/>
      <c r="D1004" s="1"/>
      <c r="E1004" s="50"/>
      <c r="F1004" s="50"/>
      <c r="G1004" s="50"/>
      <c r="H1004" s="50"/>
      <c r="I1004" s="50"/>
      <c r="J1004" s="50"/>
      <c r="K1004" s="50"/>
      <c r="L1004" s="50"/>
      <c r="M1004" s="50"/>
      <c r="N1004" s="50"/>
      <c r="O1004" s="50"/>
      <c r="P1004" s="50"/>
      <c r="Q1004" s="50"/>
      <c r="R1004" s="50"/>
      <c r="S1004" s="50"/>
      <c r="T1004" s="17"/>
      <c r="U1004" s="5"/>
      <c r="V1004" s="5"/>
      <c r="W1004" s="5"/>
      <c r="X1004" s="5"/>
      <c r="Y1004" s="5"/>
      <c r="Z1004" s="5"/>
      <c r="AA1004" s="5"/>
      <c r="AB1004" s="5"/>
      <c r="AC1004" s="5"/>
      <c r="AD1004" s="5"/>
      <c r="AE1004" s="5"/>
      <c r="AF1004" s="5"/>
      <c r="AG1004" s="5"/>
      <c r="AH1004" s="5"/>
      <c r="AI1004" s="5"/>
      <c r="AJ1004" s="5"/>
      <c r="AK1004" s="5"/>
      <c r="AL1004" s="5"/>
      <c r="AM1004" s="5"/>
      <c r="AN1004" s="5"/>
    </row>
    <row r="1005" spans="1:40" x14ac:dyDescent="0.35">
      <c r="A1005" s="5"/>
      <c r="B1005" s="1"/>
      <c r="C1005" s="1"/>
      <c r="D1005" s="1"/>
      <c r="E1005" s="50"/>
      <c r="F1005" s="50"/>
      <c r="G1005" s="50"/>
      <c r="H1005" s="50"/>
      <c r="I1005" s="50"/>
      <c r="J1005" s="50"/>
      <c r="K1005" s="50"/>
      <c r="L1005" s="50"/>
      <c r="M1005" s="50"/>
      <c r="N1005" s="50"/>
      <c r="O1005" s="50"/>
      <c r="P1005" s="50"/>
      <c r="Q1005" s="50"/>
      <c r="R1005" s="50"/>
      <c r="S1005" s="50"/>
      <c r="T1005" s="17"/>
      <c r="U1005" s="5"/>
      <c r="V1005" s="5"/>
      <c r="W1005" s="5"/>
      <c r="X1005" s="5"/>
      <c r="Y1005" s="5"/>
      <c r="Z1005" s="5"/>
      <c r="AA1005" s="5"/>
      <c r="AB1005" s="5"/>
      <c r="AC1005" s="5"/>
      <c r="AD1005" s="5"/>
      <c r="AE1005" s="5"/>
      <c r="AF1005" s="5"/>
      <c r="AG1005" s="5"/>
      <c r="AH1005" s="5"/>
      <c r="AI1005" s="5"/>
      <c r="AJ1005" s="5"/>
      <c r="AK1005" s="5"/>
      <c r="AL1005" s="5"/>
      <c r="AM1005" s="5"/>
      <c r="AN1005" s="5"/>
    </row>
    <row r="1006" spans="1:40" x14ac:dyDescent="0.35">
      <c r="A1006" s="5"/>
      <c r="B1006" s="1"/>
      <c r="C1006" s="1"/>
      <c r="D1006" s="1"/>
      <c r="E1006" s="50"/>
      <c r="F1006" s="50"/>
      <c r="G1006" s="50"/>
      <c r="H1006" s="50"/>
      <c r="I1006" s="50"/>
      <c r="J1006" s="50"/>
      <c r="K1006" s="50"/>
      <c r="L1006" s="50"/>
      <c r="M1006" s="50"/>
      <c r="N1006" s="50"/>
      <c r="O1006" s="50"/>
      <c r="P1006" s="50"/>
      <c r="Q1006" s="50"/>
      <c r="R1006" s="50"/>
      <c r="S1006" s="50"/>
      <c r="T1006" s="17"/>
      <c r="U1006" s="5"/>
      <c r="V1006" s="5"/>
      <c r="W1006" s="5"/>
      <c r="X1006" s="5"/>
      <c r="Y1006" s="5"/>
      <c r="Z1006" s="5"/>
      <c r="AA1006" s="5"/>
      <c r="AB1006" s="5"/>
      <c r="AC1006" s="5"/>
      <c r="AD1006" s="5"/>
      <c r="AE1006" s="5"/>
      <c r="AF1006" s="5"/>
      <c r="AG1006" s="5"/>
      <c r="AH1006" s="5"/>
      <c r="AI1006" s="5"/>
      <c r="AJ1006" s="5"/>
      <c r="AK1006" s="5"/>
      <c r="AL1006" s="5"/>
      <c r="AM1006" s="5"/>
      <c r="AN1006" s="5"/>
    </row>
    <row r="1007" spans="1:40" x14ac:dyDescent="0.35">
      <c r="A1007" s="5"/>
      <c r="B1007" s="1"/>
      <c r="C1007" s="1"/>
      <c r="D1007" s="1"/>
      <c r="E1007" s="50"/>
      <c r="F1007" s="50"/>
      <c r="G1007" s="50"/>
      <c r="H1007" s="50"/>
      <c r="I1007" s="50"/>
      <c r="J1007" s="50"/>
      <c r="K1007" s="50"/>
      <c r="L1007" s="50"/>
      <c r="M1007" s="50"/>
      <c r="N1007" s="50"/>
      <c r="O1007" s="50"/>
      <c r="P1007" s="50"/>
      <c r="Q1007" s="50"/>
      <c r="R1007" s="50"/>
      <c r="S1007" s="50"/>
      <c r="T1007" s="17"/>
      <c r="U1007" s="5"/>
      <c r="V1007" s="5"/>
      <c r="W1007" s="5"/>
      <c r="X1007" s="5"/>
      <c r="Y1007" s="5"/>
      <c r="Z1007" s="5"/>
      <c r="AA1007" s="5"/>
      <c r="AB1007" s="5"/>
      <c r="AC1007" s="5"/>
      <c r="AD1007" s="5"/>
      <c r="AE1007" s="5"/>
      <c r="AF1007" s="5"/>
      <c r="AG1007" s="5"/>
      <c r="AH1007" s="5"/>
      <c r="AI1007" s="5"/>
      <c r="AJ1007" s="5"/>
      <c r="AK1007" s="5"/>
      <c r="AL1007" s="5"/>
      <c r="AM1007" s="5"/>
      <c r="AN1007" s="5"/>
    </row>
    <row r="1008" spans="1:40" x14ac:dyDescent="0.35">
      <c r="A1008" s="5"/>
      <c r="B1008" s="1"/>
      <c r="C1008" s="1"/>
      <c r="D1008" s="1"/>
      <c r="E1008" s="50"/>
      <c r="F1008" s="50"/>
      <c r="G1008" s="50"/>
      <c r="H1008" s="50"/>
      <c r="I1008" s="50"/>
      <c r="J1008" s="50"/>
      <c r="K1008" s="50"/>
      <c r="L1008" s="50"/>
      <c r="M1008" s="50"/>
      <c r="N1008" s="50"/>
      <c r="O1008" s="50"/>
      <c r="P1008" s="50"/>
      <c r="Q1008" s="50"/>
      <c r="R1008" s="50"/>
      <c r="S1008" s="50"/>
      <c r="T1008" s="17"/>
      <c r="U1008" s="5"/>
      <c r="V1008" s="5"/>
      <c r="W1008" s="5"/>
      <c r="X1008" s="5"/>
      <c r="Y1008" s="5"/>
      <c r="Z1008" s="5"/>
      <c r="AA1008" s="5"/>
      <c r="AB1008" s="5"/>
      <c r="AC1008" s="5"/>
      <c r="AD1008" s="5"/>
      <c r="AE1008" s="5"/>
      <c r="AF1008" s="5"/>
      <c r="AG1008" s="5"/>
      <c r="AH1008" s="5"/>
      <c r="AI1008" s="5"/>
      <c r="AJ1008" s="5"/>
      <c r="AK1008" s="5"/>
      <c r="AL1008" s="5"/>
      <c r="AM1008" s="5"/>
      <c r="AN1008" s="5"/>
    </row>
    <row r="1009" spans="1:40" x14ac:dyDescent="0.35">
      <c r="A1009" s="5"/>
      <c r="B1009" s="1"/>
      <c r="C1009" s="1"/>
      <c r="D1009" s="1"/>
      <c r="E1009" s="50"/>
      <c r="F1009" s="50"/>
      <c r="G1009" s="50"/>
      <c r="H1009" s="50"/>
      <c r="I1009" s="50"/>
      <c r="J1009" s="50"/>
      <c r="K1009" s="50"/>
      <c r="L1009" s="50"/>
      <c r="M1009" s="50"/>
      <c r="N1009" s="50"/>
      <c r="O1009" s="50"/>
      <c r="P1009" s="50"/>
      <c r="Q1009" s="50"/>
      <c r="R1009" s="50"/>
      <c r="S1009" s="50"/>
      <c r="T1009" s="17"/>
      <c r="U1009" s="5"/>
      <c r="V1009" s="5"/>
      <c r="W1009" s="5"/>
      <c r="X1009" s="5"/>
      <c r="Y1009" s="5"/>
      <c r="Z1009" s="5"/>
      <c r="AA1009" s="5"/>
      <c r="AB1009" s="5"/>
      <c r="AC1009" s="5"/>
      <c r="AD1009" s="5"/>
      <c r="AE1009" s="5"/>
      <c r="AF1009" s="5"/>
      <c r="AG1009" s="5"/>
      <c r="AH1009" s="5"/>
      <c r="AI1009" s="5"/>
      <c r="AJ1009" s="5"/>
      <c r="AK1009" s="5"/>
      <c r="AL1009" s="5"/>
      <c r="AM1009" s="5"/>
      <c r="AN1009" s="5"/>
    </row>
    <row r="1010" spans="1:40" x14ac:dyDescent="0.35">
      <c r="A1010" s="5"/>
      <c r="B1010" s="1"/>
      <c r="C1010" s="1"/>
      <c r="D1010" s="1"/>
      <c r="E1010" s="50"/>
      <c r="F1010" s="50"/>
      <c r="G1010" s="50"/>
      <c r="H1010" s="50"/>
      <c r="I1010" s="50"/>
      <c r="J1010" s="50"/>
      <c r="K1010" s="50"/>
      <c r="L1010" s="50"/>
      <c r="M1010" s="50"/>
      <c r="N1010" s="50"/>
      <c r="O1010" s="50"/>
      <c r="P1010" s="50"/>
      <c r="Q1010" s="50"/>
      <c r="R1010" s="50"/>
      <c r="S1010" s="50"/>
      <c r="T1010" s="17"/>
      <c r="U1010" s="5"/>
      <c r="V1010" s="5"/>
      <c r="W1010" s="5"/>
      <c r="X1010" s="5"/>
      <c r="Y1010" s="5"/>
      <c r="Z1010" s="5"/>
      <c r="AA1010" s="5"/>
      <c r="AB1010" s="5"/>
      <c r="AC1010" s="5"/>
      <c r="AD1010" s="5"/>
      <c r="AE1010" s="5"/>
      <c r="AF1010" s="5"/>
      <c r="AG1010" s="5"/>
      <c r="AH1010" s="5"/>
      <c r="AI1010" s="5"/>
      <c r="AJ1010" s="5"/>
      <c r="AK1010" s="5"/>
      <c r="AL1010" s="5"/>
      <c r="AM1010" s="5"/>
      <c r="AN1010" s="5"/>
    </row>
    <row r="1011" spans="1:40" x14ac:dyDescent="0.35">
      <c r="A1011" s="5"/>
      <c r="B1011" s="1"/>
      <c r="C1011" s="1"/>
      <c r="D1011" s="1"/>
      <c r="E1011" s="50"/>
      <c r="F1011" s="50"/>
      <c r="G1011" s="50"/>
      <c r="H1011" s="50"/>
      <c r="I1011" s="50"/>
      <c r="J1011" s="50"/>
      <c r="K1011" s="50"/>
      <c r="L1011" s="50"/>
      <c r="M1011" s="50"/>
      <c r="N1011" s="50"/>
      <c r="O1011" s="50"/>
      <c r="P1011" s="50"/>
      <c r="Q1011" s="50"/>
      <c r="R1011" s="50"/>
      <c r="S1011" s="50"/>
      <c r="T1011" s="17"/>
      <c r="U1011" s="5"/>
      <c r="V1011" s="5"/>
      <c r="W1011" s="5"/>
      <c r="X1011" s="5"/>
      <c r="Y1011" s="5"/>
      <c r="Z1011" s="5"/>
      <c r="AA1011" s="5"/>
      <c r="AB1011" s="5"/>
      <c r="AC1011" s="5"/>
      <c r="AD1011" s="5"/>
      <c r="AE1011" s="5"/>
      <c r="AF1011" s="5"/>
      <c r="AG1011" s="5"/>
      <c r="AH1011" s="5"/>
      <c r="AI1011" s="5"/>
      <c r="AJ1011" s="5"/>
      <c r="AK1011" s="5"/>
      <c r="AL1011" s="5"/>
      <c r="AM1011" s="5"/>
      <c r="AN1011" s="5"/>
    </row>
    <row r="1012" spans="1:40" x14ac:dyDescent="0.35">
      <c r="A1012" s="5"/>
      <c r="B1012" s="1"/>
      <c r="C1012" s="1"/>
      <c r="D1012" s="1"/>
      <c r="E1012" s="50"/>
      <c r="F1012" s="50"/>
      <c r="G1012" s="50"/>
      <c r="H1012" s="50"/>
      <c r="I1012" s="50"/>
      <c r="J1012" s="50"/>
      <c r="K1012" s="50"/>
      <c r="L1012" s="50"/>
      <c r="M1012" s="50"/>
      <c r="N1012" s="50"/>
      <c r="O1012" s="50"/>
      <c r="P1012" s="50"/>
      <c r="Q1012" s="50"/>
      <c r="R1012" s="50"/>
      <c r="S1012" s="50"/>
      <c r="T1012" s="17"/>
      <c r="U1012" s="5"/>
      <c r="V1012" s="5"/>
      <c r="W1012" s="5"/>
      <c r="X1012" s="5"/>
      <c r="Y1012" s="5"/>
      <c r="Z1012" s="5"/>
      <c r="AA1012" s="5"/>
      <c r="AB1012" s="5"/>
      <c r="AC1012" s="5"/>
      <c r="AD1012" s="5"/>
      <c r="AE1012" s="5"/>
      <c r="AF1012" s="5"/>
      <c r="AG1012" s="5"/>
      <c r="AH1012" s="5"/>
      <c r="AI1012" s="5"/>
      <c r="AJ1012" s="5"/>
      <c r="AK1012" s="5"/>
      <c r="AL1012" s="5"/>
      <c r="AM1012" s="5"/>
      <c r="AN1012" s="5"/>
    </row>
    <row r="1013" spans="1:40" x14ac:dyDescent="0.35">
      <c r="A1013" s="5"/>
      <c r="B1013" s="1"/>
      <c r="C1013" s="1"/>
      <c r="D1013" s="1"/>
      <c r="E1013" s="50"/>
      <c r="F1013" s="50"/>
      <c r="G1013" s="50"/>
      <c r="H1013" s="50"/>
      <c r="I1013" s="50"/>
      <c r="J1013" s="50"/>
      <c r="K1013" s="50"/>
      <c r="L1013" s="50"/>
      <c r="M1013" s="50"/>
      <c r="N1013" s="50"/>
      <c r="O1013" s="50"/>
      <c r="P1013" s="50"/>
      <c r="Q1013" s="50"/>
      <c r="R1013" s="50"/>
      <c r="S1013" s="50"/>
      <c r="T1013" s="17"/>
      <c r="U1013" s="5"/>
      <c r="V1013" s="5"/>
      <c r="W1013" s="5"/>
      <c r="X1013" s="5"/>
      <c r="Y1013" s="5"/>
      <c r="Z1013" s="5"/>
      <c r="AA1013" s="5"/>
      <c r="AB1013" s="5"/>
      <c r="AC1013" s="5"/>
      <c r="AD1013" s="5"/>
      <c r="AE1013" s="5"/>
      <c r="AF1013" s="5"/>
      <c r="AG1013" s="5"/>
      <c r="AH1013" s="5"/>
      <c r="AI1013" s="5"/>
      <c r="AJ1013" s="5"/>
      <c r="AK1013" s="5"/>
      <c r="AL1013" s="5"/>
      <c r="AM1013" s="5"/>
      <c r="AN1013" s="5"/>
    </row>
    <row r="1014" spans="1:40" x14ac:dyDescent="0.35">
      <c r="A1014" s="5"/>
      <c r="B1014" s="1"/>
      <c r="C1014" s="1"/>
      <c r="D1014" s="1"/>
      <c r="E1014" s="50"/>
      <c r="F1014" s="50"/>
      <c r="G1014" s="50"/>
      <c r="H1014" s="50"/>
      <c r="I1014" s="50"/>
      <c r="J1014" s="50"/>
      <c r="K1014" s="50"/>
      <c r="L1014" s="50"/>
      <c r="M1014" s="50"/>
      <c r="N1014" s="50"/>
      <c r="O1014" s="50"/>
      <c r="P1014" s="50"/>
      <c r="Q1014" s="50"/>
      <c r="R1014" s="50"/>
      <c r="S1014" s="50"/>
      <c r="T1014" s="17"/>
      <c r="U1014" s="5"/>
      <c r="V1014" s="5"/>
      <c r="W1014" s="5"/>
      <c r="X1014" s="5"/>
      <c r="Y1014" s="5"/>
      <c r="Z1014" s="5"/>
      <c r="AA1014" s="5"/>
      <c r="AB1014" s="5"/>
      <c r="AC1014" s="5"/>
      <c r="AD1014" s="5"/>
      <c r="AE1014" s="5"/>
      <c r="AF1014" s="5"/>
      <c r="AG1014" s="5"/>
      <c r="AH1014" s="5"/>
      <c r="AI1014" s="5"/>
      <c r="AJ1014" s="5"/>
      <c r="AK1014" s="5"/>
      <c r="AL1014" s="5"/>
      <c r="AM1014" s="5"/>
      <c r="AN1014" s="5"/>
    </row>
    <row r="1015" spans="1:40" x14ac:dyDescent="0.35">
      <c r="A1015" s="5"/>
      <c r="B1015" s="1"/>
      <c r="C1015" s="1"/>
      <c r="D1015" s="1"/>
      <c r="E1015" s="50"/>
      <c r="F1015" s="50"/>
      <c r="G1015" s="50"/>
      <c r="H1015" s="50"/>
      <c r="I1015" s="50"/>
      <c r="J1015" s="50"/>
      <c r="K1015" s="50"/>
      <c r="L1015" s="50"/>
      <c r="M1015" s="50"/>
      <c r="N1015" s="50"/>
      <c r="O1015" s="50"/>
      <c r="P1015" s="50"/>
      <c r="Q1015" s="50"/>
      <c r="R1015" s="50"/>
      <c r="S1015" s="50"/>
      <c r="T1015" s="17"/>
      <c r="U1015" s="5"/>
      <c r="V1015" s="5"/>
      <c r="W1015" s="5"/>
      <c r="X1015" s="5"/>
      <c r="Y1015" s="5"/>
      <c r="Z1015" s="5"/>
      <c r="AA1015" s="5"/>
      <c r="AB1015" s="5"/>
      <c r="AC1015" s="5"/>
      <c r="AD1015" s="5"/>
      <c r="AE1015" s="5"/>
      <c r="AF1015" s="5"/>
      <c r="AG1015" s="5"/>
      <c r="AH1015" s="5"/>
      <c r="AI1015" s="5"/>
      <c r="AJ1015" s="5"/>
      <c r="AK1015" s="5"/>
      <c r="AL1015" s="5"/>
      <c r="AM1015" s="5"/>
      <c r="AN1015" s="5"/>
    </row>
    <row r="1016" spans="1:40" x14ac:dyDescent="0.35">
      <c r="A1016" s="5"/>
      <c r="B1016" s="1"/>
      <c r="C1016" s="1"/>
      <c r="D1016" s="1"/>
      <c r="E1016" s="50"/>
      <c r="F1016" s="50"/>
      <c r="G1016" s="50"/>
      <c r="H1016" s="50"/>
      <c r="I1016" s="50"/>
      <c r="J1016" s="50"/>
      <c r="K1016" s="50"/>
      <c r="L1016" s="50"/>
      <c r="M1016" s="50"/>
      <c r="N1016" s="50"/>
      <c r="O1016" s="50"/>
      <c r="P1016" s="50"/>
      <c r="Q1016" s="50"/>
      <c r="R1016" s="50"/>
      <c r="S1016" s="50"/>
      <c r="T1016" s="17"/>
      <c r="U1016" s="5"/>
      <c r="V1016" s="5"/>
      <c r="W1016" s="5"/>
      <c r="X1016" s="5"/>
      <c r="Y1016" s="5"/>
      <c r="Z1016" s="5"/>
      <c r="AA1016" s="5"/>
      <c r="AB1016" s="5"/>
      <c r="AC1016" s="5"/>
      <c r="AD1016" s="5"/>
      <c r="AE1016" s="5"/>
      <c r="AF1016" s="5"/>
      <c r="AG1016" s="5"/>
      <c r="AH1016" s="5"/>
      <c r="AI1016" s="5"/>
      <c r="AJ1016" s="5"/>
      <c r="AK1016" s="5"/>
      <c r="AL1016" s="5"/>
      <c r="AM1016" s="5"/>
      <c r="AN1016" s="5"/>
    </row>
    <row r="1017" spans="1:40" x14ac:dyDescent="0.35">
      <c r="A1017" s="5"/>
      <c r="B1017" s="1"/>
      <c r="C1017" s="1"/>
      <c r="D1017" s="1"/>
      <c r="E1017" s="50"/>
      <c r="F1017" s="50"/>
      <c r="G1017" s="50"/>
      <c r="H1017" s="50"/>
      <c r="I1017" s="50"/>
      <c r="J1017" s="50"/>
      <c r="K1017" s="50"/>
      <c r="L1017" s="50"/>
      <c r="M1017" s="50"/>
      <c r="N1017" s="50"/>
      <c r="O1017" s="50"/>
      <c r="P1017" s="50"/>
      <c r="Q1017" s="50"/>
      <c r="R1017" s="50"/>
      <c r="S1017" s="50"/>
      <c r="T1017" s="17"/>
      <c r="U1017" s="5"/>
      <c r="V1017" s="5"/>
      <c r="W1017" s="5"/>
      <c r="X1017" s="5"/>
      <c r="Y1017" s="5"/>
      <c r="Z1017" s="5"/>
      <c r="AA1017" s="5"/>
      <c r="AB1017" s="5"/>
      <c r="AC1017" s="5"/>
      <c r="AD1017" s="5"/>
      <c r="AE1017" s="5"/>
      <c r="AF1017" s="5"/>
      <c r="AG1017" s="5"/>
      <c r="AH1017" s="5"/>
      <c r="AI1017" s="5"/>
      <c r="AJ1017" s="5"/>
      <c r="AK1017" s="5"/>
      <c r="AL1017" s="5"/>
      <c r="AM1017" s="5"/>
      <c r="AN1017" s="5"/>
    </row>
    <row r="1018" spans="1:40" x14ac:dyDescent="0.35">
      <c r="A1018" s="5"/>
      <c r="B1018" s="1"/>
      <c r="C1018" s="1"/>
      <c r="D1018" s="1"/>
      <c r="E1018" s="50"/>
      <c r="F1018" s="50"/>
      <c r="G1018" s="50"/>
      <c r="H1018" s="50"/>
      <c r="I1018" s="50"/>
      <c r="J1018" s="50"/>
      <c r="K1018" s="50"/>
      <c r="L1018" s="50"/>
      <c r="M1018" s="50"/>
      <c r="N1018" s="50"/>
      <c r="O1018" s="50"/>
      <c r="P1018" s="50"/>
      <c r="Q1018" s="50"/>
      <c r="R1018" s="50"/>
      <c r="S1018" s="50"/>
      <c r="T1018" s="17"/>
      <c r="U1018" s="5"/>
      <c r="V1018" s="5"/>
      <c r="W1018" s="5"/>
      <c r="X1018" s="5"/>
      <c r="Y1018" s="5"/>
      <c r="Z1018" s="5"/>
      <c r="AA1018" s="5"/>
      <c r="AB1018" s="5"/>
      <c r="AC1018" s="5"/>
      <c r="AD1018" s="5"/>
      <c r="AE1018" s="5"/>
      <c r="AF1018" s="5"/>
      <c r="AG1018" s="5"/>
      <c r="AH1018" s="5"/>
      <c r="AI1018" s="5"/>
      <c r="AJ1018" s="5"/>
      <c r="AK1018" s="5"/>
      <c r="AL1018" s="5"/>
      <c r="AM1018" s="5"/>
      <c r="AN1018" s="5"/>
    </row>
    <row r="1019" spans="1:40" x14ac:dyDescent="0.35">
      <c r="A1019" s="5"/>
      <c r="B1019" s="1"/>
      <c r="C1019" s="1"/>
      <c r="D1019" s="1"/>
      <c r="E1019" s="50"/>
      <c r="F1019" s="50"/>
      <c r="G1019" s="50"/>
      <c r="H1019" s="50"/>
      <c r="I1019" s="50"/>
      <c r="J1019" s="50"/>
      <c r="K1019" s="50"/>
      <c r="L1019" s="50"/>
      <c r="M1019" s="50"/>
      <c r="N1019" s="50"/>
      <c r="O1019" s="50"/>
      <c r="P1019" s="50"/>
      <c r="Q1019" s="50"/>
      <c r="R1019" s="50"/>
      <c r="S1019" s="50"/>
      <c r="T1019" s="17"/>
      <c r="U1019" s="5"/>
      <c r="V1019" s="5"/>
      <c r="W1019" s="5"/>
      <c r="X1019" s="5"/>
      <c r="Y1019" s="5"/>
      <c r="Z1019" s="5"/>
      <c r="AA1019" s="5"/>
      <c r="AB1019" s="5"/>
      <c r="AC1019" s="5"/>
      <c r="AD1019" s="5"/>
      <c r="AE1019" s="5"/>
      <c r="AF1019" s="5"/>
      <c r="AG1019" s="5"/>
      <c r="AH1019" s="5"/>
      <c r="AI1019" s="5"/>
      <c r="AJ1019" s="5"/>
      <c r="AK1019" s="5"/>
      <c r="AL1019" s="5"/>
      <c r="AM1019" s="5"/>
      <c r="AN1019" s="5"/>
    </row>
    <row r="1020" spans="1:40" x14ac:dyDescent="0.35">
      <c r="A1020" s="5"/>
      <c r="B1020" s="1"/>
      <c r="C1020" s="1"/>
      <c r="D1020" s="1"/>
      <c r="E1020" s="50"/>
      <c r="F1020" s="50"/>
      <c r="G1020" s="50"/>
      <c r="H1020" s="50"/>
      <c r="I1020" s="50"/>
      <c r="J1020" s="50"/>
      <c r="K1020" s="50"/>
      <c r="L1020" s="50"/>
      <c r="M1020" s="50"/>
      <c r="N1020" s="50"/>
      <c r="O1020" s="50"/>
      <c r="P1020" s="50"/>
      <c r="Q1020" s="50"/>
      <c r="R1020" s="50"/>
      <c r="S1020" s="50"/>
      <c r="T1020" s="17"/>
      <c r="U1020" s="5"/>
      <c r="V1020" s="5"/>
      <c r="W1020" s="5"/>
      <c r="X1020" s="5"/>
      <c r="Y1020" s="5"/>
      <c r="Z1020" s="5"/>
      <c r="AA1020" s="5"/>
      <c r="AB1020" s="5"/>
      <c r="AC1020" s="5"/>
      <c r="AD1020" s="5"/>
      <c r="AE1020" s="5"/>
      <c r="AF1020" s="5"/>
      <c r="AG1020" s="5"/>
      <c r="AH1020" s="5"/>
      <c r="AI1020" s="5"/>
      <c r="AJ1020" s="5"/>
      <c r="AK1020" s="5"/>
      <c r="AL1020" s="5"/>
      <c r="AM1020" s="5"/>
      <c r="AN1020" s="5"/>
    </row>
    <row r="1021" spans="1:40" x14ac:dyDescent="0.35">
      <c r="A1021" s="5"/>
      <c r="B1021" s="1"/>
      <c r="C1021" s="1"/>
      <c r="D1021" s="1"/>
      <c r="E1021" s="50"/>
      <c r="F1021" s="50"/>
      <c r="G1021" s="50"/>
      <c r="H1021" s="50"/>
      <c r="I1021" s="50"/>
      <c r="J1021" s="50"/>
      <c r="K1021" s="50"/>
      <c r="L1021" s="50"/>
      <c r="M1021" s="50"/>
      <c r="N1021" s="50"/>
      <c r="O1021" s="50"/>
      <c r="P1021" s="50"/>
      <c r="Q1021" s="50"/>
      <c r="R1021" s="50"/>
      <c r="S1021" s="50"/>
      <c r="T1021" s="17"/>
      <c r="U1021" s="5"/>
      <c r="V1021" s="5"/>
      <c r="W1021" s="5"/>
      <c r="X1021" s="5"/>
      <c r="Y1021" s="5"/>
      <c r="Z1021" s="5"/>
      <c r="AA1021" s="5"/>
      <c r="AB1021" s="5"/>
      <c r="AC1021" s="5"/>
      <c r="AD1021" s="5"/>
      <c r="AE1021" s="5"/>
      <c r="AF1021" s="5"/>
      <c r="AG1021" s="5"/>
      <c r="AH1021" s="5"/>
      <c r="AI1021" s="5"/>
      <c r="AJ1021" s="5"/>
      <c r="AK1021" s="5"/>
      <c r="AL1021" s="5"/>
      <c r="AM1021" s="5"/>
      <c r="AN1021" s="5"/>
    </row>
    <row r="1022" spans="1:40" x14ac:dyDescent="0.35">
      <c r="A1022" s="5"/>
      <c r="B1022" s="1"/>
      <c r="C1022" s="1"/>
      <c r="D1022" s="1"/>
      <c r="E1022" s="50"/>
      <c r="F1022" s="50"/>
      <c r="G1022" s="50"/>
      <c r="H1022" s="50"/>
      <c r="I1022" s="50"/>
      <c r="J1022" s="50"/>
      <c r="K1022" s="50"/>
      <c r="L1022" s="50"/>
      <c r="M1022" s="50"/>
      <c r="N1022" s="50"/>
      <c r="O1022" s="50"/>
      <c r="P1022" s="50"/>
      <c r="Q1022" s="50"/>
      <c r="R1022" s="50"/>
      <c r="S1022" s="50"/>
      <c r="T1022" s="17"/>
      <c r="U1022" s="5"/>
      <c r="V1022" s="5"/>
      <c r="W1022" s="5"/>
      <c r="X1022" s="5"/>
      <c r="Y1022" s="5"/>
      <c r="Z1022" s="5"/>
      <c r="AA1022" s="5"/>
      <c r="AB1022" s="5"/>
      <c r="AC1022" s="5"/>
      <c r="AD1022" s="5"/>
      <c r="AE1022" s="5"/>
      <c r="AF1022" s="5"/>
      <c r="AG1022" s="5"/>
      <c r="AH1022" s="5"/>
      <c r="AI1022" s="5"/>
      <c r="AJ1022" s="5"/>
      <c r="AK1022" s="5"/>
      <c r="AL1022" s="5"/>
      <c r="AM1022" s="5"/>
      <c r="AN1022" s="5"/>
    </row>
    <row r="1023" spans="1:40" x14ac:dyDescent="0.35">
      <c r="A1023" s="5"/>
      <c r="B1023" s="1"/>
      <c r="C1023" s="1"/>
      <c r="D1023" s="1"/>
      <c r="E1023" s="50"/>
      <c r="F1023" s="50"/>
      <c r="G1023" s="50"/>
      <c r="H1023" s="50"/>
      <c r="I1023" s="50"/>
      <c r="J1023" s="50"/>
      <c r="K1023" s="50"/>
      <c r="L1023" s="50"/>
      <c r="M1023" s="50"/>
      <c r="N1023" s="50"/>
      <c r="O1023" s="50"/>
      <c r="P1023" s="50"/>
      <c r="Q1023" s="50"/>
      <c r="R1023" s="50"/>
      <c r="S1023" s="50"/>
      <c r="T1023" s="17"/>
      <c r="U1023" s="5"/>
      <c r="V1023" s="5"/>
      <c r="W1023" s="5"/>
      <c r="X1023" s="5"/>
      <c r="Y1023" s="5"/>
      <c r="Z1023" s="5"/>
      <c r="AA1023" s="5"/>
      <c r="AB1023" s="5"/>
      <c r="AC1023" s="5"/>
      <c r="AD1023" s="5"/>
      <c r="AE1023" s="5"/>
      <c r="AF1023" s="5"/>
      <c r="AG1023" s="5"/>
      <c r="AH1023" s="5"/>
      <c r="AI1023" s="5"/>
      <c r="AJ1023" s="5"/>
      <c r="AK1023" s="5"/>
      <c r="AL1023" s="5"/>
      <c r="AM1023" s="5"/>
      <c r="AN1023" s="5"/>
    </row>
    <row r="1024" spans="1:40" x14ac:dyDescent="0.35">
      <c r="A1024" s="5"/>
      <c r="B1024" s="1"/>
      <c r="C1024" s="1"/>
      <c r="D1024" s="1"/>
      <c r="E1024" s="50"/>
      <c r="F1024" s="50"/>
      <c r="G1024" s="50"/>
      <c r="H1024" s="50"/>
      <c r="I1024" s="50"/>
      <c r="J1024" s="50"/>
      <c r="K1024" s="50"/>
      <c r="L1024" s="50"/>
      <c r="M1024" s="50"/>
      <c r="N1024" s="50"/>
      <c r="O1024" s="50"/>
      <c r="P1024" s="50"/>
      <c r="Q1024" s="50"/>
      <c r="R1024" s="50"/>
      <c r="S1024" s="50"/>
      <c r="T1024" s="17"/>
      <c r="U1024" s="5"/>
      <c r="V1024" s="5"/>
      <c r="W1024" s="5"/>
      <c r="X1024" s="5"/>
      <c r="Y1024" s="5"/>
      <c r="Z1024" s="5"/>
      <c r="AA1024" s="5"/>
      <c r="AB1024" s="5"/>
      <c r="AC1024" s="5"/>
      <c r="AD1024" s="5"/>
      <c r="AE1024" s="5"/>
      <c r="AF1024" s="5"/>
      <c r="AG1024" s="5"/>
      <c r="AH1024" s="5"/>
      <c r="AI1024" s="5"/>
      <c r="AJ1024" s="5"/>
      <c r="AK1024" s="5"/>
      <c r="AL1024" s="5"/>
      <c r="AM1024" s="5"/>
      <c r="AN1024" s="5"/>
    </row>
    <row r="1025" spans="1:40" x14ac:dyDescent="0.35">
      <c r="A1025" s="5"/>
      <c r="B1025" s="1"/>
      <c r="C1025" s="1"/>
      <c r="D1025" s="1"/>
      <c r="E1025" s="50"/>
      <c r="F1025" s="50"/>
      <c r="G1025" s="50"/>
      <c r="H1025" s="50"/>
      <c r="I1025" s="50"/>
      <c r="J1025" s="50"/>
      <c r="K1025" s="50"/>
      <c r="L1025" s="50"/>
      <c r="M1025" s="50"/>
      <c r="N1025" s="50"/>
      <c r="O1025" s="50"/>
      <c r="P1025" s="50"/>
      <c r="Q1025" s="50"/>
      <c r="R1025" s="50"/>
      <c r="S1025" s="50"/>
      <c r="T1025" s="17"/>
      <c r="U1025" s="5"/>
      <c r="V1025" s="5"/>
      <c r="W1025" s="5"/>
      <c r="X1025" s="5"/>
      <c r="Y1025" s="5"/>
      <c r="Z1025" s="5"/>
      <c r="AA1025" s="5"/>
      <c r="AB1025" s="5"/>
      <c r="AC1025" s="5"/>
      <c r="AD1025" s="5"/>
      <c r="AE1025" s="5"/>
      <c r="AF1025" s="5"/>
      <c r="AG1025" s="5"/>
      <c r="AH1025" s="5"/>
      <c r="AI1025" s="5"/>
      <c r="AJ1025" s="5"/>
      <c r="AK1025" s="5"/>
      <c r="AL1025" s="5"/>
      <c r="AM1025" s="5"/>
      <c r="AN1025" s="5"/>
    </row>
    <row r="1026" spans="1:40" x14ac:dyDescent="0.35">
      <c r="A1026" s="5"/>
      <c r="B1026" s="1"/>
      <c r="C1026" s="1"/>
      <c r="D1026" s="1"/>
      <c r="E1026" s="50"/>
      <c r="F1026" s="50"/>
      <c r="G1026" s="50"/>
      <c r="H1026" s="50"/>
      <c r="I1026" s="50"/>
      <c r="J1026" s="50"/>
      <c r="K1026" s="50"/>
      <c r="L1026" s="50"/>
      <c r="M1026" s="50"/>
      <c r="N1026" s="50"/>
      <c r="O1026" s="50"/>
      <c r="P1026" s="50"/>
      <c r="Q1026" s="50"/>
      <c r="R1026" s="50"/>
      <c r="S1026" s="50"/>
      <c r="T1026" s="17"/>
      <c r="U1026" s="5"/>
      <c r="V1026" s="5"/>
      <c r="W1026" s="5"/>
      <c r="X1026" s="5"/>
      <c r="Y1026" s="5"/>
      <c r="Z1026" s="5"/>
      <c r="AA1026" s="5"/>
      <c r="AB1026" s="5"/>
      <c r="AC1026" s="5"/>
      <c r="AD1026" s="5"/>
      <c r="AE1026" s="5"/>
      <c r="AF1026" s="5"/>
      <c r="AG1026" s="5"/>
      <c r="AH1026" s="5"/>
      <c r="AI1026" s="5"/>
      <c r="AJ1026" s="5"/>
      <c r="AK1026" s="5"/>
      <c r="AL1026" s="5"/>
      <c r="AM1026" s="5"/>
      <c r="AN1026" s="5"/>
    </row>
    <row r="1027" spans="1:40" x14ac:dyDescent="0.35">
      <c r="A1027" s="5"/>
      <c r="B1027" s="1"/>
      <c r="C1027" s="1"/>
      <c r="D1027" s="1"/>
      <c r="E1027" s="50"/>
      <c r="F1027" s="50"/>
      <c r="G1027" s="50"/>
      <c r="H1027" s="50"/>
      <c r="I1027" s="50"/>
      <c r="J1027" s="50"/>
      <c r="K1027" s="50"/>
      <c r="L1027" s="50"/>
      <c r="M1027" s="50"/>
      <c r="N1027" s="50"/>
      <c r="O1027" s="50"/>
      <c r="P1027" s="50"/>
      <c r="Q1027" s="50"/>
      <c r="R1027" s="50"/>
      <c r="S1027" s="50"/>
      <c r="T1027" s="17"/>
      <c r="U1027" s="5"/>
      <c r="V1027" s="5"/>
      <c r="W1027" s="5"/>
      <c r="X1027" s="5"/>
      <c r="Y1027" s="5"/>
      <c r="Z1027" s="5"/>
      <c r="AA1027" s="5"/>
      <c r="AB1027" s="5"/>
      <c r="AC1027" s="5"/>
      <c r="AD1027" s="5"/>
      <c r="AE1027" s="5"/>
      <c r="AF1027" s="5"/>
      <c r="AG1027" s="5"/>
      <c r="AH1027" s="5"/>
      <c r="AI1027" s="5"/>
      <c r="AJ1027" s="5"/>
      <c r="AK1027" s="5"/>
      <c r="AL1027" s="5"/>
      <c r="AM1027" s="5"/>
      <c r="AN1027" s="5"/>
    </row>
    <row r="1028" spans="1:40" x14ac:dyDescent="0.35">
      <c r="A1028" s="5"/>
      <c r="B1028" s="1"/>
      <c r="C1028" s="1"/>
      <c r="D1028" s="1"/>
      <c r="E1028" s="50"/>
      <c r="F1028" s="50"/>
      <c r="G1028" s="50"/>
      <c r="H1028" s="50"/>
      <c r="I1028" s="50"/>
      <c r="J1028" s="50"/>
      <c r="K1028" s="50"/>
      <c r="L1028" s="50"/>
      <c r="M1028" s="50"/>
      <c r="N1028" s="50"/>
      <c r="O1028" s="50"/>
      <c r="P1028" s="50"/>
      <c r="Q1028" s="50"/>
      <c r="R1028" s="50"/>
      <c r="S1028" s="50"/>
      <c r="T1028" s="17"/>
      <c r="U1028" s="5"/>
      <c r="V1028" s="5"/>
      <c r="W1028" s="5"/>
      <c r="X1028" s="5"/>
      <c r="Y1028" s="5"/>
      <c r="Z1028" s="5"/>
      <c r="AA1028" s="5"/>
      <c r="AB1028" s="5"/>
      <c r="AC1028" s="5"/>
      <c r="AD1028" s="5"/>
      <c r="AE1028" s="5"/>
      <c r="AF1028" s="5"/>
      <c r="AG1028" s="5"/>
      <c r="AH1028" s="5"/>
      <c r="AI1028" s="5"/>
      <c r="AJ1028" s="5"/>
      <c r="AK1028" s="5"/>
      <c r="AL1028" s="5"/>
      <c r="AM1028" s="5"/>
      <c r="AN1028" s="5"/>
    </row>
    <row r="1029" spans="1:40" x14ac:dyDescent="0.35">
      <c r="A1029" s="5"/>
      <c r="B1029" s="1"/>
      <c r="C1029" s="1"/>
      <c r="D1029" s="1"/>
      <c r="E1029" s="50"/>
      <c r="F1029" s="50"/>
      <c r="G1029" s="50"/>
      <c r="H1029" s="50"/>
      <c r="I1029" s="50"/>
      <c r="J1029" s="50"/>
      <c r="K1029" s="50"/>
      <c r="L1029" s="50"/>
      <c r="M1029" s="50"/>
      <c r="N1029" s="50"/>
      <c r="O1029" s="50"/>
      <c r="P1029" s="50"/>
      <c r="Q1029" s="50"/>
      <c r="R1029" s="50"/>
      <c r="S1029" s="50"/>
      <c r="T1029" s="17"/>
      <c r="U1029" s="5"/>
      <c r="V1029" s="5"/>
      <c r="W1029" s="5"/>
      <c r="X1029" s="5"/>
      <c r="Y1029" s="5"/>
      <c r="Z1029" s="5"/>
      <c r="AA1029" s="5"/>
      <c r="AB1029" s="5"/>
      <c r="AC1029" s="5"/>
      <c r="AD1029" s="5"/>
      <c r="AE1029" s="5"/>
      <c r="AF1029" s="5"/>
      <c r="AG1029" s="5"/>
      <c r="AH1029" s="5"/>
      <c r="AI1029" s="5"/>
      <c r="AJ1029" s="5"/>
      <c r="AK1029" s="5"/>
      <c r="AL1029" s="5"/>
      <c r="AM1029" s="5"/>
      <c r="AN1029" s="5"/>
    </row>
    <row r="1030" spans="1:40" x14ac:dyDescent="0.35">
      <c r="A1030" s="5"/>
      <c r="B1030" s="1"/>
      <c r="C1030" s="1"/>
      <c r="D1030" s="1"/>
      <c r="E1030" s="50"/>
      <c r="F1030" s="50"/>
      <c r="G1030" s="50"/>
      <c r="H1030" s="50"/>
      <c r="I1030" s="50"/>
      <c r="J1030" s="50"/>
      <c r="K1030" s="50"/>
      <c r="L1030" s="50"/>
      <c r="M1030" s="50"/>
      <c r="N1030" s="50"/>
      <c r="O1030" s="50"/>
      <c r="P1030" s="50"/>
      <c r="Q1030" s="50"/>
      <c r="R1030" s="50"/>
      <c r="S1030" s="50"/>
      <c r="T1030" s="17"/>
      <c r="U1030" s="5"/>
      <c r="V1030" s="5"/>
      <c r="W1030" s="5"/>
      <c r="X1030" s="5"/>
      <c r="Y1030" s="5"/>
      <c r="Z1030" s="5"/>
      <c r="AA1030" s="5"/>
      <c r="AB1030" s="5"/>
      <c r="AC1030" s="5"/>
      <c r="AD1030" s="5"/>
      <c r="AE1030" s="5"/>
      <c r="AF1030" s="5"/>
      <c r="AG1030" s="5"/>
      <c r="AH1030" s="5"/>
      <c r="AI1030" s="5"/>
      <c r="AJ1030" s="5"/>
      <c r="AK1030" s="5"/>
      <c r="AL1030" s="5"/>
      <c r="AM1030" s="5"/>
      <c r="AN1030" s="5"/>
    </row>
    <row r="1031" spans="1:40" x14ac:dyDescent="0.35">
      <c r="A1031" s="5"/>
      <c r="B1031" s="1"/>
      <c r="C1031" s="1"/>
      <c r="D1031" s="1"/>
      <c r="E1031" s="50"/>
      <c r="F1031" s="50"/>
      <c r="G1031" s="50"/>
      <c r="H1031" s="50"/>
      <c r="I1031" s="50"/>
      <c r="J1031" s="50"/>
      <c r="K1031" s="50"/>
      <c r="L1031" s="50"/>
      <c r="M1031" s="50"/>
      <c r="N1031" s="50"/>
      <c r="O1031" s="50"/>
      <c r="P1031" s="50"/>
      <c r="Q1031" s="50"/>
      <c r="R1031" s="50"/>
      <c r="S1031" s="50"/>
      <c r="T1031" s="17"/>
      <c r="U1031" s="5"/>
      <c r="V1031" s="5"/>
      <c r="W1031" s="5"/>
      <c r="X1031" s="5"/>
      <c r="Y1031" s="5"/>
      <c r="Z1031" s="5"/>
      <c r="AA1031" s="5"/>
      <c r="AB1031" s="5"/>
      <c r="AC1031" s="5"/>
      <c r="AD1031" s="5"/>
      <c r="AE1031" s="5"/>
      <c r="AF1031" s="5"/>
      <c r="AG1031" s="5"/>
      <c r="AH1031" s="5"/>
      <c r="AI1031" s="5"/>
      <c r="AJ1031" s="5"/>
      <c r="AK1031" s="5"/>
      <c r="AL1031" s="5"/>
      <c r="AM1031" s="5"/>
      <c r="AN1031" s="5"/>
    </row>
    <row r="1032" spans="1:40" x14ac:dyDescent="0.35">
      <c r="A1032" s="5"/>
      <c r="B1032" s="1"/>
      <c r="C1032" s="1"/>
      <c r="D1032" s="1"/>
      <c r="E1032" s="50"/>
      <c r="F1032" s="50"/>
      <c r="G1032" s="50"/>
      <c r="H1032" s="50"/>
      <c r="I1032" s="50"/>
      <c r="J1032" s="50"/>
      <c r="K1032" s="50"/>
      <c r="L1032" s="50"/>
      <c r="M1032" s="50"/>
      <c r="N1032" s="50"/>
      <c r="O1032" s="50"/>
      <c r="P1032" s="50"/>
      <c r="Q1032" s="50"/>
      <c r="R1032" s="50"/>
      <c r="S1032" s="50"/>
      <c r="T1032" s="17"/>
      <c r="U1032" s="5"/>
      <c r="V1032" s="5"/>
      <c r="W1032" s="5"/>
      <c r="X1032" s="5"/>
      <c r="Y1032" s="5"/>
      <c r="Z1032" s="5"/>
      <c r="AA1032" s="5"/>
      <c r="AB1032" s="5"/>
      <c r="AC1032" s="5"/>
      <c r="AD1032" s="5"/>
      <c r="AE1032" s="5"/>
      <c r="AF1032" s="5"/>
      <c r="AG1032" s="5"/>
      <c r="AH1032" s="5"/>
      <c r="AI1032" s="5"/>
      <c r="AJ1032" s="5"/>
      <c r="AK1032" s="5"/>
      <c r="AL1032" s="5"/>
      <c r="AM1032" s="5"/>
      <c r="AN1032" s="5"/>
    </row>
    <row r="1033" spans="1:40" x14ac:dyDescent="0.35">
      <c r="A1033" s="5"/>
      <c r="B1033" s="1"/>
      <c r="C1033" s="1"/>
      <c r="D1033" s="1"/>
      <c r="E1033" s="50"/>
      <c r="F1033" s="50"/>
      <c r="G1033" s="50"/>
      <c r="H1033" s="50"/>
      <c r="I1033" s="50"/>
      <c r="J1033" s="50"/>
      <c r="K1033" s="50"/>
      <c r="L1033" s="50"/>
      <c r="M1033" s="50"/>
      <c r="N1033" s="50"/>
      <c r="O1033" s="50"/>
      <c r="P1033" s="50"/>
      <c r="Q1033" s="50"/>
      <c r="R1033" s="50"/>
      <c r="S1033" s="50"/>
      <c r="T1033" s="17"/>
      <c r="U1033" s="5"/>
      <c r="V1033" s="5"/>
      <c r="W1033" s="5"/>
      <c r="X1033" s="5"/>
      <c r="Y1033" s="5"/>
      <c r="Z1033" s="5"/>
      <c r="AA1033" s="5"/>
      <c r="AB1033" s="5"/>
      <c r="AC1033" s="5"/>
      <c r="AD1033" s="5"/>
      <c r="AE1033" s="5"/>
      <c r="AF1033" s="5"/>
      <c r="AG1033" s="5"/>
      <c r="AH1033" s="5"/>
      <c r="AI1033" s="5"/>
      <c r="AJ1033" s="5"/>
      <c r="AK1033" s="5"/>
      <c r="AL1033" s="5"/>
      <c r="AM1033" s="5"/>
      <c r="AN1033" s="5"/>
    </row>
    <row r="1034" spans="1:40" x14ac:dyDescent="0.35">
      <c r="A1034" s="5"/>
      <c r="B1034" s="1"/>
      <c r="C1034" s="1"/>
      <c r="D1034" s="1"/>
      <c r="E1034" s="50"/>
      <c r="F1034" s="50"/>
      <c r="G1034" s="50"/>
      <c r="H1034" s="50"/>
      <c r="I1034" s="50"/>
      <c r="J1034" s="50"/>
      <c r="K1034" s="50"/>
      <c r="L1034" s="50"/>
      <c r="M1034" s="50"/>
      <c r="N1034" s="50"/>
      <c r="O1034" s="50"/>
      <c r="P1034" s="50"/>
      <c r="Q1034" s="50"/>
      <c r="R1034" s="50"/>
      <c r="S1034" s="50"/>
      <c r="T1034" s="17"/>
      <c r="U1034" s="5"/>
      <c r="V1034" s="5"/>
      <c r="W1034" s="5"/>
      <c r="X1034" s="5"/>
      <c r="Y1034" s="5"/>
      <c r="Z1034" s="5"/>
      <c r="AA1034" s="5"/>
      <c r="AB1034" s="5"/>
      <c r="AC1034" s="5"/>
      <c r="AD1034" s="5"/>
      <c r="AE1034" s="5"/>
      <c r="AF1034" s="5"/>
      <c r="AG1034" s="5"/>
      <c r="AH1034" s="5"/>
      <c r="AI1034" s="5"/>
      <c r="AJ1034" s="5"/>
      <c r="AK1034" s="5"/>
      <c r="AL1034" s="5"/>
      <c r="AM1034" s="5"/>
      <c r="AN1034" s="5"/>
    </row>
    <row r="1035" spans="1:40" x14ac:dyDescent="0.35">
      <c r="A1035" s="5"/>
      <c r="B1035" s="1"/>
      <c r="C1035" s="1"/>
      <c r="D1035" s="1"/>
      <c r="E1035" s="50"/>
      <c r="F1035" s="50"/>
      <c r="G1035" s="50"/>
      <c r="H1035" s="50"/>
      <c r="I1035" s="50"/>
      <c r="J1035" s="50"/>
      <c r="K1035" s="50"/>
      <c r="L1035" s="50"/>
      <c r="M1035" s="50"/>
      <c r="N1035" s="50"/>
      <c r="O1035" s="50"/>
      <c r="P1035" s="50"/>
      <c r="Q1035" s="50"/>
      <c r="R1035" s="50"/>
      <c r="S1035" s="50"/>
      <c r="T1035" s="17"/>
      <c r="U1035" s="5"/>
      <c r="V1035" s="5"/>
      <c r="W1035" s="5"/>
      <c r="X1035" s="5"/>
      <c r="Y1035" s="5"/>
      <c r="Z1035" s="5"/>
      <c r="AA1035" s="5"/>
      <c r="AB1035" s="5"/>
      <c r="AC1035" s="5"/>
      <c r="AD1035" s="5"/>
      <c r="AE1035" s="5"/>
      <c r="AF1035" s="5"/>
      <c r="AG1035" s="5"/>
      <c r="AH1035" s="5"/>
      <c r="AI1035" s="5"/>
      <c r="AJ1035" s="5"/>
      <c r="AK1035" s="5"/>
      <c r="AL1035" s="5"/>
      <c r="AM1035" s="5"/>
      <c r="AN1035" s="5"/>
    </row>
    <row r="1036" spans="1:40" x14ac:dyDescent="0.35">
      <c r="A1036" s="5"/>
      <c r="B1036" s="1"/>
      <c r="C1036" s="1"/>
      <c r="D1036" s="1"/>
      <c r="E1036" s="50"/>
      <c r="F1036" s="50"/>
      <c r="G1036" s="50"/>
      <c r="H1036" s="50"/>
      <c r="I1036" s="50"/>
      <c r="J1036" s="50"/>
      <c r="K1036" s="50"/>
      <c r="L1036" s="50"/>
      <c r="M1036" s="50"/>
      <c r="N1036" s="50"/>
      <c r="O1036" s="50"/>
      <c r="P1036" s="50"/>
      <c r="Q1036" s="50"/>
      <c r="R1036" s="50"/>
      <c r="S1036" s="50"/>
      <c r="T1036" s="17"/>
      <c r="U1036" s="5"/>
      <c r="V1036" s="5"/>
      <c r="W1036" s="5"/>
      <c r="X1036" s="5"/>
      <c r="Y1036" s="5"/>
      <c r="Z1036" s="5"/>
      <c r="AA1036" s="5"/>
      <c r="AB1036" s="5"/>
      <c r="AC1036" s="5"/>
      <c r="AD1036" s="5"/>
      <c r="AE1036" s="5"/>
      <c r="AF1036" s="5"/>
      <c r="AG1036" s="5"/>
      <c r="AH1036" s="5"/>
      <c r="AI1036" s="5"/>
      <c r="AJ1036" s="5"/>
      <c r="AK1036" s="5"/>
      <c r="AL1036" s="5"/>
      <c r="AM1036" s="5"/>
      <c r="AN1036" s="5"/>
    </row>
    <row r="1037" spans="1:40" x14ac:dyDescent="0.35">
      <c r="A1037" s="5"/>
      <c r="B1037" s="1"/>
      <c r="C1037" s="1"/>
      <c r="D1037" s="1"/>
      <c r="E1037" s="50"/>
      <c r="F1037" s="50"/>
      <c r="G1037" s="50"/>
      <c r="H1037" s="50"/>
      <c r="I1037" s="50"/>
      <c r="J1037" s="50"/>
      <c r="K1037" s="50"/>
      <c r="L1037" s="50"/>
      <c r="M1037" s="50"/>
      <c r="N1037" s="50"/>
      <c r="O1037" s="50"/>
      <c r="P1037" s="50"/>
      <c r="Q1037" s="50"/>
      <c r="R1037" s="50"/>
      <c r="S1037" s="50"/>
      <c r="T1037" s="17"/>
      <c r="U1037" s="5"/>
      <c r="V1037" s="5"/>
      <c r="W1037" s="5"/>
      <c r="X1037" s="5"/>
      <c r="Y1037" s="5"/>
      <c r="Z1037" s="5"/>
      <c r="AA1037" s="5"/>
      <c r="AB1037" s="5"/>
      <c r="AC1037" s="5"/>
      <c r="AD1037" s="5"/>
      <c r="AE1037" s="5"/>
      <c r="AF1037" s="5"/>
      <c r="AG1037" s="5"/>
      <c r="AH1037" s="5"/>
      <c r="AI1037" s="5"/>
      <c r="AJ1037" s="5"/>
      <c r="AK1037" s="5"/>
      <c r="AL1037" s="5"/>
      <c r="AM1037" s="5"/>
      <c r="AN1037" s="5"/>
    </row>
    <row r="1038" spans="1:40" x14ac:dyDescent="0.35">
      <c r="A1038" s="5"/>
      <c r="B1038" s="1"/>
      <c r="C1038" s="1"/>
      <c r="D1038" s="1"/>
      <c r="E1038" s="50"/>
      <c r="F1038" s="50"/>
      <c r="G1038" s="50"/>
      <c r="H1038" s="50"/>
      <c r="I1038" s="50"/>
      <c r="J1038" s="50"/>
      <c r="K1038" s="50"/>
      <c r="L1038" s="50"/>
      <c r="M1038" s="50"/>
      <c r="N1038" s="50"/>
      <c r="O1038" s="50"/>
      <c r="P1038" s="50"/>
      <c r="Q1038" s="50"/>
      <c r="R1038" s="50"/>
      <c r="S1038" s="50"/>
      <c r="T1038" s="17"/>
      <c r="U1038" s="5"/>
      <c r="V1038" s="5"/>
      <c r="W1038" s="5"/>
      <c r="X1038" s="5"/>
      <c r="Y1038" s="5"/>
      <c r="Z1038" s="5"/>
      <c r="AA1038" s="5"/>
      <c r="AB1038" s="5"/>
      <c r="AC1038" s="5"/>
      <c r="AD1038" s="5"/>
      <c r="AE1038" s="5"/>
      <c r="AF1038" s="5"/>
      <c r="AG1038" s="5"/>
      <c r="AH1038" s="5"/>
      <c r="AI1038" s="5"/>
      <c r="AJ1038" s="5"/>
      <c r="AK1038" s="5"/>
      <c r="AL1038" s="5"/>
      <c r="AM1038" s="5"/>
      <c r="AN1038" s="5"/>
    </row>
    <row r="1039" spans="1:40" x14ac:dyDescent="0.35">
      <c r="A1039" s="5"/>
      <c r="B1039" s="1"/>
      <c r="C1039" s="1"/>
      <c r="D1039" s="1"/>
      <c r="E1039" s="50"/>
      <c r="F1039" s="50"/>
      <c r="G1039" s="50"/>
      <c r="H1039" s="50"/>
      <c r="I1039" s="50"/>
      <c r="J1039" s="50"/>
      <c r="K1039" s="50"/>
      <c r="L1039" s="50"/>
      <c r="M1039" s="50"/>
      <c r="N1039" s="50"/>
      <c r="O1039" s="50"/>
      <c r="P1039" s="50"/>
      <c r="Q1039" s="50"/>
      <c r="R1039" s="50"/>
      <c r="S1039" s="50"/>
      <c r="T1039" s="17"/>
      <c r="U1039" s="5"/>
      <c r="V1039" s="5"/>
      <c r="W1039" s="5"/>
      <c r="X1039" s="5"/>
      <c r="Y1039" s="5"/>
      <c r="Z1039" s="5"/>
      <c r="AA1039" s="5"/>
      <c r="AB1039" s="5"/>
      <c r="AC1039" s="5"/>
      <c r="AD1039" s="5"/>
      <c r="AE1039" s="5"/>
      <c r="AF1039" s="5"/>
      <c r="AG1039" s="5"/>
      <c r="AH1039" s="5"/>
      <c r="AI1039" s="5"/>
      <c r="AJ1039" s="5"/>
      <c r="AK1039" s="5"/>
      <c r="AL1039" s="5"/>
      <c r="AM1039" s="5"/>
      <c r="AN1039" s="5"/>
    </row>
    <row r="1040" spans="1:40" x14ac:dyDescent="0.35">
      <c r="A1040" s="5"/>
      <c r="B1040" s="1"/>
      <c r="C1040" s="1"/>
      <c r="D1040" s="1"/>
      <c r="E1040" s="50"/>
      <c r="F1040" s="50"/>
      <c r="G1040" s="50"/>
      <c r="H1040" s="50"/>
      <c r="I1040" s="50"/>
      <c r="J1040" s="50"/>
      <c r="K1040" s="50"/>
      <c r="L1040" s="50"/>
      <c r="M1040" s="50"/>
      <c r="N1040" s="50"/>
      <c r="O1040" s="50"/>
      <c r="P1040" s="50"/>
      <c r="Q1040" s="50"/>
      <c r="R1040" s="50"/>
      <c r="S1040" s="50"/>
      <c r="T1040" s="17"/>
      <c r="U1040" s="5"/>
      <c r="V1040" s="5"/>
      <c r="W1040" s="5"/>
      <c r="X1040" s="5"/>
      <c r="Y1040" s="5"/>
      <c r="Z1040" s="5"/>
      <c r="AA1040" s="5"/>
      <c r="AB1040" s="5"/>
      <c r="AC1040" s="5"/>
      <c r="AD1040" s="5"/>
      <c r="AE1040" s="5"/>
      <c r="AF1040" s="5"/>
      <c r="AG1040" s="5"/>
      <c r="AH1040" s="5"/>
      <c r="AI1040" s="5"/>
      <c r="AJ1040" s="5"/>
      <c r="AK1040" s="5"/>
      <c r="AL1040" s="5"/>
      <c r="AM1040" s="5"/>
      <c r="AN1040" s="5"/>
    </row>
    <row r="1041" spans="1:40" x14ac:dyDescent="0.35">
      <c r="A1041" s="5"/>
      <c r="B1041" s="1"/>
      <c r="C1041" s="1"/>
      <c r="D1041" s="1"/>
      <c r="E1041" s="50"/>
      <c r="F1041" s="50"/>
      <c r="G1041" s="50"/>
      <c r="H1041" s="50"/>
      <c r="I1041" s="50"/>
      <c r="J1041" s="50"/>
      <c r="K1041" s="50"/>
      <c r="L1041" s="50"/>
      <c r="M1041" s="50"/>
      <c r="N1041" s="50"/>
      <c r="O1041" s="50"/>
      <c r="P1041" s="50"/>
      <c r="Q1041" s="50"/>
      <c r="R1041" s="50"/>
      <c r="S1041" s="50"/>
      <c r="T1041" s="17"/>
      <c r="U1041" s="5"/>
      <c r="V1041" s="5"/>
      <c r="W1041" s="5"/>
      <c r="X1041" s="5"/>
      <c r="Y1041" s="5"/>
      <c r="Z1041" s="5"/>
      <c r="AA1041" s="5"/>
      <c r="AB1041" s="5"/>
      <c r="AC1041" s="5"/>
      <c r="AD1041" s="5"/>
      <c r="AE1041" s="5"/>
      <c r="AF1041" s="5"/>
      <c r="AG1041" s="5"/>
      <c r="AH1041" s="5"/>
      <c r="AI1041" s="5"/>
      <c r="AJ1041" s="5"/>
      <c r="AK1041" s="5"/>
      <c r="AL1041" s="5"/>
      <c r="AM1041" s="5"/>
      <c r="AN1041" s="5"/>
    </row>
    <row r="1042" spans="1:40" x14ac:dyDescent="0.35">
      <c r="A1042" s="5"/>
      <c r="B1042" s="1"/>
      <c r="C1042" s="1"/>
      <c r="D1042" s="1"/>
      <c r="E1042" s="50"/>
      <c r="F1042" s="50"/>
      <c r="G1042" s="50"/>
      <c r="H1042" s="50"/>
      <c r="I1042" s="50"/>
      <c r="J1042" s="50"/>
      <c r="K1042" s="50"/>
      <c r="L1042" s="50"/>
      <c r="M1042" s="50"/>
      <c r="N1042" s="50"/>
      <c r="O1042" s="50"/>
      <c r="P1042" s="50"/>
      <c r="Q1042" s="50"/>
      <c r="R1042" s="50"/>
      <c r="S1042" s="50"/>
      <c r="T1042" s="17"/>
      <c r="U1042" s="5"/>
      <c r="V1042" s="5"/>
      <c r="W1042" s="5"/>
      <c r="X1042" s="5"/>
      <c r="Y1042" s="5"/>
      <c r="Z1042" s="5"/>
      <c r="AA1042" s="5"/>
      <c r="AB1042" s="5"/>
      <c r="AC1042" s="5"/>
      <c r="AD1042" s="5"/>
      <c r="AE1042" s="5"/>
      <c r="AF1042" s="5"/>
      <c r="AG1042" s="5"/>
      <c r="AH1042" s="5"/>
      <c r="AI1042" s="5"/>
      <c r="AJ1042" s="5"/>
      <c r="AK1042" s="5"/>
      <c r="AL1042" s="5"/>
      <c r="AM1042" s="5"/>
      <c r="AN1042" s="5"/>
    </row>
    <row r="1043" spans="1:40" x14ac:dyDescent="0.35">
      <c r="A1043" s="5"/>
      <c r="B1043" s="1"/>
      <c r="C1043" s="1"/>
      <c r="D1043" s="1"/>
      <c r="E1043" s="50"/>
      <c r="F1043" s="50"/>
      <c r="G1043" s="50"/>
      <c r="H1043" s="50"/>
      <c r="I1043" s="50"/>
      <c r="J1043" s="50"/>
      <c r="K1043" s="50"/>
      <c r="L1043" s="50"/>
      <c r="M1043" s="50"/>
      <c r="N1043" s="50"/>
      <c r="O1043" s="50"/>
      <c r="P1043" s="50"/>
      <c r="Q1043" s="50"/>
      <c r="R1043" s="50"/>
      <c r="S1043" s="50"/>
      <c r="T1043" s="17"/>
      <c r="U1043" s="5"/>
      <c r="V1043" s="5"/>
      <c r="W1043" s="5"/>
      <c r="X1043" s="5"/>
      <c r="Y1043" s="5"/>
      <c r="Z1043" s="5"/>
      <c r="AA1043" s="5"/>
      <c r="AB1043" s="5"/>
      <c r="AC1043" s="5"/>
      <c r="AD1043" s="5"/>
      <c r="AE1043" s="5"/>
      <c r="AF1043" s="5"/>
      <c r="AG1043" s="5"/>
      <c r="AH1043" s="5"/>
      <c r="AI1043" s="5"/>
      <c r="AJ1043" s="5"/>
      <c r="AK1043" s="5"/>
      <c r="AL1043" s="5"/>
      <c r="AM1043" s="5"/>
      <c r="AN1043" s="5"/>
    </row>
    <row r="1044" spans="1:40" x14ac:dyDescent="0.35">
      <c r="A1044" s="5"/>
      <c r="B1044" s="1"/>
      <c r="C1044" s="1"/>
      <c r="D1044" s="1"/>
      <c r="E1044" s="50"/>
      <c r="F1044" s="50"/>
      <c r="G1044" s="50"/>
      <c r="H1044" s="50"/>
      <c r="I1044" s="50"/>
      <c r="J1044" s="50"/>
      <c r="K1044" s="50"/>
      <c r="L1044" s="50"/>
      <c r="M1044" s="50"/>
      <c r="N1044" s="50"/>
      <c r="O1044" s="50"/>
      <c r="P1044" s="50"/>
      <c r="Q1044" s="50"/>
      <c r="R1044" s="50"/>
      <c r="S1044" s="50"/>
      <c r="T1044" s="17"/>
      <c r="U1044" s="5"/>
      <c r="V1044" s="5"/>
      <c r="W1044" s="5"/>
      <c r="X1044" s="5"/>
      <c r="Y1044" s="5"/>
      <c r="Z1044" s="5"/>
      <c r="AA1044" s="5"/>
      <c r="AB1044" s="5"/>
      <c r="AC1044" s="5"/>
      <c r="AD1044" s="5"/>
      <c r="AE1044" s="5"/>
      <c r="AF1044" s="5"/>
      <c r="AG1044" s="5"/>
      <c r="AH1044" s="5"/>
      <c r="AI1044" s="5"/>
      <c r="AJ1044" s="5"/>
      <c r="AK1044" s="5"/>
      <c r="AL1044" s="5"/>
      <c r="AM1044" s="5"/>
      <c r="AN1044" s="5"/>
    </row>
    <row r="1045" spans="1:40" x14ac:dyDescent="0.35">
      <c r="A1045" s="5"/>
      <c r="B1045" s="1"/>
      <c r="C1045" s="1"/>
      <c r="D1045" s="1"/>
      <c r="E1045" s="50"/>
      <c r="F1045" s="50"/>
      <c r="G1045" s="50"/>
      <c r="H1045" s="50"/>
      <c r="I1045" s="50"/>
      <c r="J1045" s="50"/>
      <c r="K1045" s="50"/>
      <c r="L1045" s="50"/>
      <c r="M1045" s="50"/>
      <c r="N1045" s="50"/>
      <c r="O1045" s="50"/>
      <c r="P1045" s="50"/>
      <c r="Q1045" s="50"/>
      <c r="R1045" s="50"/>
      <c r="S1045" s="50"/>
      <c r="T1045" s="17"/>
      <c r="U1045" s="5"/>
      <c r="V1045" s="5"/>
      <c r="W1045" s="5"/>
      <c r="X1045" s="5"/>
      <c r="Y1045" s="5"/>
      <c r="Z1045" s="5"/>
      <c r="AA1045" s="5"/>
      <c r="AB1045" s="5"/>
      <c r="AC1045" s="5"/>
      <c r="AD1045" s="5"/>
      <c r="AE1045" s="5"/>
      <c r="AF1045" s="5"/>
      <c r="AG1045" s="5"/>
      <c r="AH1045" s="5"/>
      <c r="AI1045" s="5"/>
      <c r="AJ1045" s="5"/>
      <c r="AK1045" s="5"/>
      <c r="AL1045" s="5"/>
      <c r="AM1045" s="5"/>
      <c r="AN1045" s="5"/>
    </row>
    <row r="1046" spans="1:40" x14ac:dyDescent="0.35">
      <c r="A1046" s="5"/>
      <c r="B1046" s="1"/>
      <c r="C1046" s="1"/>
      <c r="D1046" s="1"/>
      <c r="E1046" s="50"/>
      <c r="F1046" s="50"/>
      <c r="G1046" s="50"/>
      <c r="H1046" s="50"/>
      <c r="I1046" s="50"/>
      <c r="J1046" s="50"/>
      <c r="K1046" s="50"/>
      <c r="L1046" s="50"/>
      <c r="M1046" s="50"/>
      <c r="N1046" s="50"/>
      <c r="O1046" s="50"/>
      <c r="P1046" s="50"/>
      <c r="Q1046" s="50"/>
      <c r="R1046" s="50"/>
      <c r="S1046" s="50"/>
      <c r="T1046" s="17"/>
      <c r="U1046" s="5"/>
      <c r="V1046" s="5"/>
      <c r="W1046" s="5"/>
      <c r="X1046" s="5"/>
      <c r="Y1046" s="5"/>
      <c r="Z1046" s="5"/>
      <c r="AA1046" s="5"/>
      <c r="AB1046" s="5"/>
      <c r="AC1046" s="5"/>
      <c r="AD1046" s="5"/>
      <c r="AE1046" s="5"/>
      <c r="AF1046" s="5"/>
      <c r="AG1046" s="5"/>
      <c r="AH1046" s="5"/>
      <c r="AI1046" s="5"/>
      <c r="AJ1046" s="5"/>
      <c r="AK1046" s="5"/>
      <c r="AL1046" s="5"/>
      <c r="AM1046" s="5"/>
      <c r="AN1046" s="5"/>
    </row>
    <row r="1047" spans="1:40" x14ac:dyDescent="0.35">
      <c r="A1047" s="5"/>
      <c r="B1047" s="1"/>
      <c r="C1047" s="1"/>
      <c r="D1047" s="1"/>
      <c r="E1047" s="50"/>
      <c r="F1047" s="50"/>
      <c r="G1047" s="50"/>
      <c r="H1047" s="50"/>
      <c r="I1047" s="50"/>
      <c r="J1047" s="50"/>
      <c r="K1047" s="50"/>
      <c r="L1047" s="50"/>
      <c r="M1047" s="50"/>
      <c r="N1047" s="50"/>
      <c r="O1047" s="50"/>
      <c r="P1047" s="50"/>
      <c r="Q1047" s="50"/>
      <c r="R1047" s="50"/>
      <c r="S1047" s="50"/>
      <c r="T1047" s="17"/>
      <c r="U1047" s="5"/>
      <c r="V1047" s="5"/>
      <c r="W1047" s="5"/>
      <c r="X1047" s="5"/>
      <c r="Y1047" s="5"/>
      <c r="Z1047" s="5"/>
      <c r="AA1047" s="5"/>
      <c r="AB1047" s="5"/>
      <c r="AC1047" s="5"/>
      <c r="AD1047" s="5"/>
      <c r="AE1047" s="5"/>
      <c r="AF1047" s="5"/>
      <c r="AG1047" s="5"/>
      <c r="AH1047" s="5"/>
      <c r="AI1047" s="5"/>
      <c r="AJ1047" s="5"/>
      <c r="AK1047" s="5"/>
      <c r="AL1047" s="5"/>
      <c r="AM1047" s="5"/>
      <c r="AN1047" s="5"/>
    </row>
    <row r="1048" spans="1:40" x14ac:dyDescent="0.35">
      <c r="A1048" s="5"/>
      <c r="B1048" s="1"/>
      <c r="C1048" s="1"/>
      <c r="D1048" s="1"/>
      <c r="E1048" s="50"/>
      <c r="F1048" s="50"/>
      <c r="G1048" s="50"/>
      <c r="H1048" s="50"/>
      <c r="I1048" s="50"/>
      <c r="J1048" s="50"/>
      <c r="K1048" s="50"/>
      <c r="L1048" s="50"/>
      <c r="M1048" s="50"/>
      <c r="N1048" s="50"/>
      <c r="O1048" s="50"/>
      <c r="P1048" s="50"/>
      <c r="Q1048" s="50"/>
      <c r="R1048" s="50"/>
      <c r="S1048" s="50"/>
      <c r="T1048" s="17"/>
      <c r="U1048" s="5"/>
      <c r="V1048" s="5"/>
      <c r="W1048" s="5"/>
      <c r="X1048" s="5"/>
      <c r="Y1048" s="5"/>
      <c r="Z1048" s="5"/>
      <c r="AA1048" s="5"/>
      <c r="AB1048" s="5"/>
      <c r="AC1048" s="5"/>
      <c r="AD1048" s="5"/>
      <c r="AE1048" s="5"/>
      <c r="AF1048" s="5"/>
      <c r="AG1048" s="5"/>
      <c r="AH1048" s="5"/>
      <c r="AI1048" s="5"/>
      <c r="AJ1048" s="5"/>
      <c r="AK1048" s="5"/>
      <c r="AL1048" s="5"/>
      <c r="AM1048" s="5"/>
      <c r="AN1048" s="5"/>
    </row>
    <row r="1049" spans="1:40" x14ac:dyDescent="0.35">
      <c r="A1049" s="5"/>
      <c r="B1049" s="1"/>
      <c r="C1049" s="1"/>
      <c r="D1049" s="1"/>
      <c r="E1049" s="50"/>
      <c r="F1049" s="50"/>
      <c r="G1049" s="50"/>
      <c r="H1049" s="50"/>
      <c r="I1049" s="50"/>
      <c r="J1049" s="50"/>
      <c r="K1049" s="50"/>
      <c r="L1049" s="50"/>
      <c r="M1049" s="50"/>
      <c r="N1049" s="50"/>
      <c r="O1049" s="50"/>
      <c r="P1049" s="50"/>
      <c r="Q1049" s="50"/>
      <c r="R1049" s="50"/>
      <c r="S1049" s="50"/>
      <c r="T1049" s="17"/>
      <c r="U1049" s="5"/>
      <c r="V1049" s="5"/>
      <c r="W1049" s="5"/>
      <c r="X1049" s="5"/>
      <c r="Y1049" s="5"/>
      <c r="Z1049" s="5"/>
      <c r="AA1049" s="5"/>
      <c r="AB1049" s="5"/>
      <c r="AC1049" s="5"/>
      <c r="AD1049" s="5"/>
      <c r="AE1049" s="5"/>
      <c r="AF1049" s="5"/>
      <c r="AG1049" s="5"/>
      <c r="AH1049" s="5"/>
      <c r="AI1049" s="5"/>
      <c r="AJ1049" s="5"/>
      <c r="AK1049" s="5"/>
      <c r="AL1049" s="5"/>
      <c r="AM1049" s="5"/>
      <c r="AN1049" s="5"/>
    </row>
    <row r="1050" spans="1:40" x14ac:dyDescent="0.35">
      <c r="A1050" s="5"/>
      <c r="B1050" s="1"/>
      <c r="C1050" s="1"/>
      <c r="D1050" s="1"/>
      <c r="E1050" s="50"/>
      <c r="F1050" s="50"/>
      <c r="G1050" s="50"/>
      <c r="H1050" s="50"/>
      <c r="I1050" s="50"/>
      <c r="J1050" s="50"/>
      <c r="K1050" s="50"/>
      <c r="L1050" s="50"/>
      <c r="M1050" s="50"/>
      <c r="N1050" s="50"/>
      <c r="O1050" s="50"/>
      <c r="P1050" s="50"/>
      <c r="Q1050" s="50"/>
      <c r="R1050" s="50"/>
      <c r="S1050" s="50"/>
      <c r="T1050" s="17"/>
      <c r="U1050" s="5"/>
      <c r="V1050" s="5"/>
      <c r="W1050" s="5"/>
      <c r="X1050" s="5"/>
      <c r="Y1050" s="5"/>
      <c r="Z1050" s="5"/>
      <c r="AA1050" s="5"/>
      <c r="AB1050" s="5"/>
      <c r="AC1050" s="5"/>
      <c r="AD1050" s="5"/>
      <c r="AE1050" s="5"/>
      <c r="AF1050" s="5"/>
      <c r="AG1050" s="5"/>
      <c r="AH1050" s="5"/>
      <c r="AI1050" s="5"/>
      <c r="AJ1050" s="5"/>
      <c r="AK1050" s="5"/>
      <c r="AL1050" s="5"/>
      <c r="AM1050" s="5"/>
      <c r="AN1050" s="5"/>
    </row>
    <row r="1051" spans="1:40" x14ac:dyDescent="0.35">
      <c r="A1051" s="5"/>
      <c r="B1051" s="1"/>
      <c r="C1051" s="1"/>
      <c r="D1051" s="1"/>
      <c r="E1051" s="50"/>
      <c r="F1051" s="50"/>
      <c r="G1051" s="50"/>
      <c r="H1051" s="50"/>
      <c r="I1051" s="50"/>
      <c r="J1051" s="50"/>
      <c r="K1051" s="50"/>
      <c r="L1051" s="50"/>
      <c r="M1051" s="50"/>
      <c r="N1051" s="50"/>
      <c r="O1051" s="50"/>
      <c r="P1051" s="50"/>
      <c r="Q1051" s="50"/>
      <c r="R1051" s="50"/>
      <c r="S1051" s="50"/>
      <c r="T1051" s="17"/>
      <c r="U1051" s="5"/>
      <c r="V1051" s="5"/>
      <c r="W1051" s="5"/>
      <c r="X1051" s="5"/>
      <c r="Y1051" s="5"/>
      <c r="Z1051" s="5"/>
      <c r="AA1051" s="5"/>
      <c r="AB1051" s="5"/>
      <c r="AC1051" s="5"/>
      <c r="AD1051" s="5"/>
      <c r="AE1051" s="5"/>
      <c r="AF1051" s="5"/>
      <c r="AG1051" s="5"/>
      <c r="AH1051" s="5"/>
      <c r="AI1051" s="5"/>
      <c r="AJ1051" s="5"/>
      <c r="AK1051" s="5"/>
      <c r="AL1051" s="5"/>
      <c r="AM1051" s="5"/>
      <c r="AN1051" s="5"/>
    </row>
    <row r="1052" spans="1:40" x14ac:dyDescent="0.35">
      <c r="A1052" s="5"/>
      <c r="B1052" s="1"/>
      <c r="C1052" s="1"/>
      <c r="D1052" s="1"/>
      <c r="E1052" s="50"/>
      <c r="F1052" s="50"/>
      <c r="G1052" s="50"/>
      <c r="H1052" s="50"/>
      <c r="I1052" s="50"/>
      <c r="J1052" s="50"/>
      <c r="K1052" s="50"/>
      <c r="L1052" s="50"/>
      <c r="M1052" s="50"/>
      <c r="N1052" s="50"/>
      <c r="O1052" s="50"/>
      <c r="P1052" s="50"/>
      <c r="Q1052" s="50"/>
      <c r="R1052" s="50"/>
      <c r="S1052" s="50"/>
      <c r="T1052" s="17"/>
      <c r="U1052" s="5"/>
      <c r="V1052" s="5"/>
      <c r="W1052" s="5"/>
      <c r="X1052" s="5"/>
      <c r="Y1052" s="5"/>
      <c r="Z1052" s="5"/>
      <c r="AA1052" s="5"/>
      <c r="AB1052" s="5"/>
      <c r="AC1052" s="5"/>
      <c r="AD1052" s="5"/>
      <c r="AE1052" s="5"/>
      <c r="AF1052" s="5"/>
      <c r="AG1052" s="5"/>
      <c r="AH1052" s="5"/>
      <c r="AI1052" s="5"/>
      <c r="AJ1052" s="5"/>
      <c r="AK1052" s="5"/>
      <c r="AL1052" s="5"/>
      <c r="AM1052" s="5"/>
      <c r="AN1052" s="5"/>
    </row>
    <row r="1053" spans="1:40" x14ac:dyDescent="0.35">
      <c r="A1053" s="5"/>
      <c r="B1053" s="1"/>
      <c r="C1053" s="1"/>
      <c r="D1053" s="1"/>
      <c r="E1053" s="50"/>
      <c r="F1053" s="50"/>
      <c r="G1053" s="50"/>
      <c r="H1053" s="50"/>
      <c r="I1053" s="50"/>
      <c r="J1053" s="50"/>
      <c r="K1053" s="50"/>
      <c r="L1053" s="50"/>
      <c r="M1053" s="50"/>
      <c r="N1053" s="50"/>
      <c r="O1053" s="50"/>
      <c r="P1053" s="50"/>
      <c r="Q1053" s="50"/>
      <c r="R1053" s="50"/>
      <c r="S1053" s="50"/>
      <c r="T1053" s="17"/>
      <c r="U1053" s="5"/>
      <c r="V1053" s="5"/>
      <c r="W1053" s="5"/>
      <c r="X1053" s="5"/>
      <c r="Y1053" s="5"/>
      <c r="Z1053" s="5"/>
      <c r="AA1053" s="5"/>
      <c r="AB1053" s="5"/>
      <c r="AC1053" s="5"/>
      <c r="AD1053" s="5"/>
      <c r="AE1053" s="5"/>
      <c r="AF1053" s="5"/>
      <c r="AG1053" s="5"/>
      <c r="AH1053" s="5"/>
      <c r="AI1053" s="5"/>
      <c r="AJ1053" s="5"/>
      <c r="AK1053" s="5"/>
      <c r="AL1053" s="5"/>
      <c r="AM1053" s="5"/>
      <c r="AN1053" s="5"/>
    </row>
    <row r="1054" spans="1:40" x14ac:dyDescent="0.35">
      <c r="A1054" s="5"/>
      <c r="B1054" s="1"/>
      <c r="C1054" s="1"/>
      <c r="D1054" s="1"/>
      <c r="E1054" s="50"/>
      <c r="F1054" s="50"/>
      <c r="G1054" s="50"/>
      <c r="H1054" s="50"/>
      <c r="I1054" s="50"/>
      <c r="J1054" s="50"/>
      <c r="K1054" s="50"/>
      <c r="L1054" s="50"/>
      <c r="M1054" s="50"/>
      <c r="N1054" s="50"/>
      <c r="O1054" s="50"/>
      <c r="P1054" s="50"/>
      <c r="Q1054" s="50"/>
      <c r="R1054" s="50"/>
      <c r="S1054" s="50"/>
      <c r="T1054" s="17"/>
      <c r="U1054" s="5"/>
      <c r="V1054" s="5"/>
      <c r="W1054" s="5"/>
      <c r="X1054" s="5"/>
      <c r="Y1054" s="5"/>
      <c r="Z1054" s="5"/>
      <c r="AA1054" s="5"/>
      <c r="AB1054" s="5"/>
      <c r="AC1054" s="5"/>
      <c r="AD1054" s="5"/>
      <c r="AE1054" s="5"/>
      <c r="AF1054" s="5"/>
      <c r="AG1054" s="5"/>
      <c r="AH1054" s="5"/>
      <c r="AI1054" s="5"/>
      <c r="AJ1054" s="5"/>
      <c r="AK1054" s="5"/>
      <c r="AL1054" s="5"/>
      <c r="AM1054" s="5"/>
      <c r="AN1054" s="5"/>
    </row>
    <row r="1055" spans="1:40" x14ac:dyDescent="0.35">
      <c r="A1055" s="5"/>
      <c r="B1055" s="1"/>
      <c r="C1055" s="1"/>
      <c r="D1055" s="1"/>
      <c r="E1055" s="50"/>
      <c r="F1055" s="50"/>
      <c r="G1055" s="50"/>
      <c r="H1055" s="50"/>
      <c r="I1055" s="50"/>
      <c r="J1055" s="50"/>
      <c r="K1055" s="50"/>
      <c r="L1055" s="50"/>
      <c r="M1055" s="50"/>
      <c r="N1055" s="50"/>
      <c r="O1055" s="50"/>
      <c r="P1055" s="50"/>
      <c r="Q1055" s="50"/>
      <c r="R1055" s="50"/>
      <c r="S1055" s="50"/>
      <c r="T1055" s="17"/>
      <c r="U1055" s="5"/>
      <c r="V1055" s="5"/>
      <c r="W1055" s="5"/>
      <c r="X1055" s="5"/>
      <c r="Y1055" s="5"/>
      <c r="Z1055" s="5"/>
      <c r="AA1055" s="5"/>
      <c r="AB1055" s="5"/>
      <c r="AC1055" s="5"/>
      <c r="AD1055" s="5"/>
      <c r="AE1055" s="5"/>
      <c r="AF1055" s="5"/>
      <c r="AG1055" s="5"/>
      <c r="AH1055" s="5"/>
      <c r="AI1055" s="5"/>
      <c r="AJ1055" s="5"/>
      <c r="AK1055" s="5"/>
      <c r="AL1055" s="5"/>
      <c r="AM1055" s="5"/>
      <c r="AN1055" s="5"/>
    </row>
    <row r="1056" spans="1:40" x14ac:dyDescent="0.35">
      <c r="A1056" s="5"/>
      <c r="B1056" s="1"/>
      <c r="C1056" s="1"/>
      <c r="D1056" s="1"/>
      <c r="E1056" s="50"/>
      <c r="F1056" s="50"/>
      <c r="G1056" s="50"/>
      <c r="H1056" s="50"/>
      <c r="I1056" s="50"/>
      <c r="J1056" s="50"/>
      <c r="K1056" s="50"/>
      <c r="L1056" s="50"/>
      <c r="M1056" s="50"/>
      <c r="N1056" s="50"/>
      <c r="O1056" s="50"/>
      <c r="P1056" s="50"/>
      <c r="Q1056" s="50"/>
      <c r="R1056" s="50"/>
      <c r="S1056" s="50"/>
      <c r="T1056" s="17"/>
      <c r="U1056" s="5"/>
      <c r="V1056" s="5"/>
      <c r="W1056" s="5"/>
      <c r="X1056" s="5"/>
      <c r="Y1056" s="5"/>
      <c r="Z1056" s="5"/>
      <c r="AA1056" s="5"/>
      <c r="AB1056" s="5"/>
      <c r="AC1056" s="5"/>
      <c r="AD1056" s="5"/>
      <c r="AE1056" s="5"/>
      <c r="AF1056" s="5"/>
      <c r="AG1056" s="5"/>
      <c r="AH1056" s="5"/>
      <c r="AI1056" s="5"/>
      <c r="AJ1056" s="5"/>
      <c r="AK1056" s="5"/>
      <c r="AL1056" s="5"/>
      <c r="AM1056" s="5"/>
      <c r="AN1056" s="5"/>
    </row>
    <row r="1057" spans="1:40" x14ac:dyDescent="0.35">
      <c r="A1057" s="5"/>
      <c r="B1057" s="1"/>
      <c r="C1057" s="1"/>
      <c r="D1057" s="1"/>
      <c r="E1057" s="50"/>
      <c r="F1057" s="50"/>
      <c r="G1057" s="50"/>
      <c r="H1057" s="50"/>
      <c r="I1057" s="50"/>
      <c r="J1057" s="50"/>
      <c r="K1057" s="50"/>
      <c r="L1057" s="50"/>
      <c r="M1057" s="50"/>
      <c r="N1057" s="50"/>
      <c r="O1057" s="50"/>
      <c r="P1057" s="50"/>
      <c r="Q1057" s="50"/>
      <c r="R1057" s="50"/>
      <c r="S1057" s="50"/>
      <c r="T1057" s="17"/>
      <c r="U1057" s="5"/>
      <c r="V1057" s="5"/>
      <c r="W1057" s="5"/>
      <c r="X1057" s="5"/>
      <c r="Y1057" s="5"/>
      <c r="Z1057" s="5"/>
      <c r="AA1057" s="5"/>
      <c r="AB1057" s="5"/>
      <c r="AC1057" s="5"/>
      <c r="AD1057" s="5"/>
      <c r="AE1057" s="5"/>
      <c r="AF1057" s="5"/>
      <c r="AG1057" s="5"/>
      <c r="AH1057" s="5"/>
      <c r="AI1057" s="5"/>
      <c r="AJ1057" s="5"/>
      <c r="AK1057" s="5"/>
      <c r="AL1057" s="5"/>
      <c r="AM1057" s="5"/>
      <c r="AN1057" s="5"/>
    </row>
    <row r="1058" spans="1:40" x14ac:dyDescent="0.35">
      <c r="A1058" s="5"/>
      <c r="B1058" s="1"/>
      <c r="C1058" s="1"/>
      <c r="D1058" s="1"/>
      <c r="E1058" s="50"/>
      <c r="F1058" s="50"/>
      <c r="G1058" s="50"/>
      <c r="H1058" s="50"/>
      <c r="I1058" s="50"/>
      <c r="J1058" s="50"/>
      <c r="K1058" s="50"/>
      <c r="L1058" s="50"/>
      <c r="M1058" s="50"/>
      <c r="N1058" s="50"/>
      <c r="O1058" s="50"/>
      <c r="P1058" s="50"/>
      <c r="Q1058" s="50"/>
      <c r="R1058" s="50"/>
      <c r="S1058" s="50"/>
      <c r="T1058" s="17"/>
      <c r="U1058" s="5"/>
      <c r="V1058" s="5"/>
      <c r="W1058" s="5"/>
      <c r="X1058" s="5"/>
      <c r="Y1058" s="5"/>
      <c r="Z1058" s="5"/>
      <c r="AA1058" s="5"/>
      <c r="AB1058" s="5"/>
      <c r="AC1058" s="5"/>
      <c r="AD1058" s="5"/>
      <c r="AE1058" s="5"/>
      <c r="AF1058" s="5"/>
      <c r="AG1058" s="5"/>
      <c r="AH1058" s="5"/>
      <c r="AI1058" s="5"/>
      <c r="AJ1058" s="5"/>
      <c r="AK1058" s="5"/>
      <c r="AL1058" s="5"/>
      <c r="AM1058" s="5"/>
      <c r="AN1058" s="5"/>
    </row>
    <row r="1059" spans="1:40" x14ac:dyDescent="0.35">
      <c r="A1059" s="5"/>
      <c r="B1059" s="1"/>
      <c r="C1059" s="1"/>
      <c r="D1059" s="1"/>
      <c r="E1059" s="50"/>
      <c r="F1059" s="50"/>
      <c r="G1059" s="50"/>
      <c r="H1059" s="50"/>
      <c r="I1059" s="50"/>
      <c r="J1059" s="50"/>
      <c r="K1059" s="50"/>
      <c r="L1059" s="50"/>
      <c r="M1059" s="50"/>
      <c r="N1059" s="50"/>
      <c r="O1059" s="50"/>
      <c r="P1059" s="50"/>
      <c r="Q1059" s="50"/>
      <c r="R1059" s="50"/>
      <c r="S1059" s="50"/>
      <c r="T1059" s="17"/>
      <c r="U1059" s="5"/>
      <c r="V1059" s="5"/>
      <c r="W1059" s="5"/>
      <c r="X1059" s="5"/>
      <c r="Y1059" s="5"/>
      <c r="Z1059" s="5"/>
      <c r="AA1059" s="5"/>
      <c r="AB1059" s="5"/>
      <c r="AC1059" s="5"/>
      <c r="AD1059" s="5"/>
      <c r="AE1059" s="5"/>
      <c r="AF1059" s="5"/>
      <c r="AG1059" s="5"/>
      <c r="AH1059" s="5"/>
      <c r="AI1059" s="5"/>
      <c r="AJ1059" s="5"/>
      <c r="AK1059" s="5"/>
      <c r="AL1059" s="5"/>
      <c r="AM1059" s="5"/>
      <c r="AN1059" s="5"/>
    </row>
    <row r="1060" spans="1:40" x14ac:dyDescent="0.35">
      <c r="A1060" s="5"/>
      <c r="B1060" s="1"/>
      <c r="C1060" s="1"/>
      <c r="D1060" s="1"/>
      <c r="E1060" s="50"/>
      <c r="F1060" s="50"/>
      <c r="G1060" s="50"/>
      <c r="H1060" s="50"/>
      <c r="I1060" s="50"/>
      <c r="J1060" s="50"/>
      <c r="K1060" s="50"/>
      <c r="L1060" s="50"/>
      <c r="M1060" s="50"/>
      <c r="N1060" s="50"/>
      <c r="O1060" s="50"/>
      <c r="P1060" s="50"/>
      <c r="Q1060" s="50"/>
      <c r="R1060" s="50"/>
      <c r="S1060" s="50"/>
      <c r="T1060" s="17"/>
      <c r="U1060" s="5"/>
      <c r="V1060" s="5"/>
      <c r="W1060" s="5"/>
      <c r="X1060" s="5"/>
      <c r="Y1060" s="5"/>
      <c r="Z1060" s="5"/>
      <c r="AA1060" s="5"/>
      <c r="AB1060" s="5"/>
      <c r="AC1060" s="5"/>
      <c r="AD1060" s="5"/>
      <c r="AE1060" s="5"/>
      <c r="AF1060" s="5"/>
      <c r="AG1060" s="5"/>
      <c r="AH1060" s="5"/>
      <c r="AI1060" s="5"/>
      <c r="AJ1060" s="5"/>
      <c r="AK1060" s="5"/>
      <c r="AL1060" s="5"/>
      <c r="AM1060" s="5"/>
      <c r="AN1060" s="5"/>
    </row>
    <row r="1061" spans="1:40" x14ac:dyDescent="0.35">
      <c r="A1061" s="5"/>
      <c r="B1061" s="1"/>
      <c r="C1061" s="1"/>
      <c r="D1061" s="1"/>
      <c r="E1061" s="50"/>
      <c r="F1061" s="50"/>
      <c r="G1061" s="50"/>
      <c r="H1061" s="50"/>
      <c r="I1061" s="50"/>
      <c r="J1061" s="50"/>
      <c r="K1061" s="50"/>
      <c r="L1061" s="50"/>
      <c r="M1061" s="50"/>
      <c r="N1061" s="50"/>
      <c r="O1061" s="50"/>
      <c r="P1061" s="50"/>
      <c r="Q1061" s="50"/>
      <c r="R1061" s="50"/>
      <c r="S1061" s="50"/>
      <c r="T1061" s="17"/>
      <c r="U1061" s="5"/>
      <c r="V1061" s="5"/>
      <c r="W1061" s="5"/>
      <c r="X1061" s="5"/>
      <c r="Y1061" s="5"/>
      <c r="Z1061" s="5"/>
      <c r="AA1061" s="5"/>
      <c r="AB1061" s="5"/>
      <c r="AC1061" s="5"/>
      <c r="AD1061" s="5"/>
      <c r="AE1061" s="5"/>
      <c r="AF1061" s="5"/>
      <c r="AG1061" s="5"/>
      <c r="AH1061" s="5"/>
      <c r="AI1061" s="5"/>
      <c r="AJ1061" s="5"/>
      <c r="AK1061" s="5"/>
      <c r="AL1061" s="5"/>
      <c r="AM1061" s="5"/>
      <c r="AN1061" s="5"/>
    </row>
    <row r="1062" spans="1:40" x14ac:dyDescent="0.35">
      <c r="A1062" s="5"/>
      <c r="B1062" s="1"/>
      <c r="C1062" s="1"/>
      <c r="D1062" s="1"/>
      <c r="E1062" s="50"/>
      <c r="F1062" s="50"/>
      <c r="G1062" s="50"/>
      <c r="H1062" s="50"/>
      <c r="I1062" s="50"/>
      <c r="J1062" s="50"/>
      <c r="K1062" s="50"/>
      <c r="L1062" s="50"/>
      <c r="M1062" s="50"/>
      <c r="N1062" s="50"/>
      <c r="O1062" s="50"/>
      <c r="P1062" s="50"/>
      <c r="Q1062" s="50"/>
      <c r="R1062" s="50"/>
      <c r="S1062" s="50"/>
      <c r="T1062" s="17"/>
      <c r="U1062" s="5"/>
      <c r="V1062" s="5"/>
      <c r="W1062" s="5"/>
      <c r="X1062" s="5"/>
      <c r="Y1062" s="5"/>
      <c r="Z1062" s="5"/>
      <c r="AA1062" s="5"/>
      <c r="AB1062" s="5"/>
      <c r="AC1062" s="5"/>
      <c r="AD1062" s="5"/>
      <c r="AE1062" s="5"/>
      <c r="AF1062" s="5"/>
      <c r="AG1062" s="5"/>
      <c r="AH1062" s="5"/>
      <c r="AI1062" s="5"/>
      <c r="AJ1062" s="5"/>
      <c r="AK1062" s="5"/>
      <c r="AL1062" s="5"/>
      <c r="AM1062" s="5"/>
      <c r="AN1062" s="5"/>
    </row>
    <row r="1063" spans="1:40" x14ac:dyDescent="0.35">
      <c r="A1063" s="5"/>
      <c r="B1063" s="1"/>
      <c r="C1063" s="1"/>
      <c r="D1063" s="1"/>
      <c r="E1063" s="50"/>
      <c r="F1063" s="50"/>
      <c r="G1063" s="50"/>
      <c r="H1063" s="50"/>
      <c r="I1063" s="50"/>
      <c r="J1063" s="50"/>
      <c r="K1063" s="50"/>
      <c r="L1063" s="50"/>
      <c r="M1063" s="50"/>
      <c r="N1063" s="50"/>
      <c r="O1063" s="50"/>
      <c r="P1063" s="50"/>
      <c r="Q1063" s="50"/>
      <c r="R1063" s="50"/>
      <c r="S1063" s="50"/>
      <c r="T1063" s="17"/>
      <c r="U1063" s="5"/>
      <c r="V1063" s="5"/>
      <c r="W1063" s="5"/>
      <c r="X1063" s="5"/>
      <c r="Y1063" s="5"/>
      <c r="Z1063" s="5"/>
      <c r="AA1063" s="5"/>
      <c r="AB1063" s="5"/>
      <c r="AC1063" s="5"/>
      <c r="AD1063" s="5"/>
      <c r="AE1063" s="5"/>
      <c r="AF1063" s="5"/>
      <c r="AG1063" s="5"/>
      <c r="AH1063" s="5"/>
      <c r="AI1063" s="5"/>
      <c r="AJ1063" s="5"/>
      <c r="AK1063" s="5"/>
      <c r="AL1063" s="5"/>
      <c r="AM1063" s="5"/>
      <c r="AN1063" s="5"/>
    </row>
    <row r="1064" spans="1:40" x14ac:dyDescent="0.35">
      <c r="A1064" s="5"/>
      <c r="B1064" s="1"/>
      <c r="C1064" s="1"/>
      <c r="D1064" s="1"/>
      <c r="E1064" s="50"/>
      <c r="F1064" s="50"/>
      <c r="G1064" s="50"/>
      <c r="H1064" s="50"/>
      <c r="I1064" s="50"/>
      <c r="J1064" s="50"/>
      <c r="K1064" s="50"/>
      <c r="L1064" s="50"/>
      <c r="M1064" s="50"/>
      <c r="N1064" s="50"/>
      <c r="O1064" s="50"/>
      <c r="P1064" s="50"/>
      <c r="Q1064" s="50"/>
      <c r="R1064" s="50"/>
      <c r="S1064" s="50"/>
      <c r="T1064" s="17"/>
      <c r="U1064" s="5"/>
      <c r="V1064" s="5"/>
      <c r="W1064" s="5"/>
      <c r="X1064" s="5"/>
      <c r="Y1064" s="5"/>
      <c r="Z1064" s="5"/>
      <c r="AA1064" s="5"/>
      <c r="AB1064" s="5"/>
      <c r="AC1064" s="5"/>
      <c r="AD1064" s="5"/>
      <c r="AE1064" s="5"/>
      <c r="AF1064" s="5"/>
      <c r="AG1064" s="5"/>
      <c r="AH1064" s="5"/>
      <c r="AI1064" s="5"/>
      <c r="AJ1064" s="5"/>
      <c r="AK1064" s="5"/>
      <c r="AL1064" s="5"/>
      <c r="AM1064" s="5"/>
      <c r="AN1064" s="5"/>
    </row>
    <row r="1065" spans="1:40" x14ac:dyDescent="0.35">
      <c r="A1065" s="5"/>
      <c r="B1065" s="1"/>
      <c r="C1065" s="1"/>
      <c r="D1065" s="1"/>
      <c r="E1065" s="50"/>
      <c r="F1065" s="50"/>
      <c r="G1065" s="50"/>
      <c r="H1065" s="50"/>
      <c r="I1065" s="50"/>
      <c r="J1065" s="50"/>
      <c r="K1065" s="50"/>
      <c r="L1065" s="50"/>
      <c r="M1065" s="50"/>
      <c r="N1065" s="50"/>
      <c r="O1065" s="50"/>
      <c r="P1065" s="50"/>
      <c r="Q1065" s="50"/>
      <c r="R1065" s="50"/>
      <c r="S1065" s="50"/>
      <c r="T1065" s="17"/>
      <c r="U1065" s="5"/>
      <c r="V1065" s="5"/>
      <c r="W1065" s="5"/>
      <c r="X1065" s="5"/>
      <c r="Y1065" s="5"/>
      <c r="Z1065" s="5"/>
      <c r="AA1065" s="5"/>
      <c r="AB1065" s="5"/>
      <c r="AC1065" s="5"/>
      <c r="AD1065" s="5"/>
      <c r="AE1065" s="5"/>
      <c r="AF1065" s="5"/>
      <c r="AG1065" s="5"/>
      <c r="AH1065" s="5"/>
      <c r="AI1065" s="5"/>
      <c r="AJ1065" s="5"/>
      <c r="AK1065" s="5"/>
      <c r="AL1065" s="5"/>
      <c r="AM1065" s="5"/>
      <c r="AN1065" s="5"/>
    </row>
    <row r="1066" spans="1:40" x14ac:dyDescent="0.35">
      <c r="A1066" s="5"/>
      <c r="B1066" s="1"/>
      <c r="C1066" s="1"/>
      <c r="D1066" s="1"/>
      <c r="E1066" s="50"/>
      <c r="F1066" s="50"/>
      <c r="G1066" s="50"/>
      <c r="H1066" s="50"/>
      <c r="I1066" s="50"/>
      <c r="J1066" s="50"/>
      <c r="K1066" s="50"/>
      <c r="L1066" s="50"/>
      <c r="M1066" s="50"/>
      <c r="N1066" s="50"/>
      <c r="O1066" s="50"/>
      <c r="P1066" s="50"/>
      <c r="Q1066" s="50"/>
      <c r="R1066" s="50"/>
      <c r="S1066" s="50"/>
      <c r="T1066" s="17"/>
      <c r="U1066" s="5"/>
      <c r="V1066" s="5"/>
      <c r="W1066" s="5"/>
      <c r="X1066" s="5"/>
      <c r="Y1066" s="5"/>
      <c r="Z1066" s="5"/>
      <c r="AA1066" s="5"/>
      <c r="AB1066" s="5"/>
      <c r="AC1066" s="5"/>
      <c r="AD1066" s="5"/>
      <c r="AE1066" s="5"/>
      <c r="AF1066" s="5"/>
      <c r="AG1066" s="5"/>
      <c r="AH1066" s="5"/>
      <c r="AI1066" s="5"/>
      <c r="AJ1066" s="5"/>
      <c r="AK1066" s="5"/>
      <c r="AL1066" s="5"/>
      <c r="AM1066" s="5"/>
      <c r="AN1066" s="5"/>
    </row>
    <row r="1067" spans="1:40" x14ac:dyDescent="0.35">
      <c r="A1067" s="5"/>
      <c r="B1067" s="1"/>
      <c r="C1067" s="1"/>
      <c r="D1067" s="1"/>
      <c r="E1067" s="50"/>
      <c r="F1067" s="50"/>
      <c r="G1067" s="50"/>
      <c r="H1067" s="50"/>
      <c r="I1067" s="50"/>
      <c r="J1067" s="50"/>
      <c r="K1067" s="50"/>
      <c r="L1067" s="50"/>
      <c r="M1067" s="50"/>
      <c r="N1067" s="50"/>
      <c r="O1067" s="50"/>
      <c r="P1067" s="50"/>
      <c r="Q1067" s="50"/>
      <c r="R1067" s="50"/>
      <c r="S1067" s="50"/>
      <c r="T1067" s="17"/>
      <c r="U1067" s="5"/>
      <c r="V1067" s="5"/>
      <c r="W1067" s="5"/>
      <c r="X1067" s="5"/>
      <c r="Y1067" s="5"/>
      <c r="Z1067" s="5"/>
      <c r="AA1067" s="5"/>
      <c r="AB1067" s="5"/>
      <c r="AC1067" s="5"/>
      <c r="AD1067" s="5"/>
      <c r="AE1067" s="5"/>
      <c r="AF1067" s="5"/>
      <c r="AG1067" s="5"/>
      <c r="AH1067" s="5"/>
      <c r="AI1067" s="5"/>
      <c r="AJ1067" s="5"/>
      <c r="AK1067" s="5"/>
      <c r="AL1067" s="5"/>
      <c r="AM1067" s="5"/>
      <c r="AN1067" s="5"/>
    </row>
    <row r="1068" spans="1:40" x14ac:dyDescent="0.35">
      <c r="A1068" s="5"/>
      <c r="B1068" s="1"/>
      <c r="C1068" s="1"/>
      <c r="D1068" s="1"/>
      <c r="E1068" s="50"/>
      <c r="F1068" s="50"/>
      <c r="G1068" s="50"/>
      <c r="H1068" s="50"/>
      <c r="I1068" s="50"/>
      <c r="J1068" s="50"/>
      <c r="K1068" s="50"/>
      <c r="L1068" s="50"/>
      <c r="M1068" s="50"/>
      <c r="N1068" s="50"/>
      <c r="O1068" s="50"/>
      <c r="P1068" s="50"/>
      <c r="Q1068" s="50"/>
      <c r="R1068" s="50"/>
      <c r="S1068" s="50"/>
      <c r="T1068" s="17"/>
      <c r="U1068" s="5"/>
      <c r="V1068" s="5"/>
      <c r="W1068" s="5"/>
      <c r="X1068" s="5"/>
      <c r="Y1068" s="5"/>
      <c r="Z1068" s="5"/>
      <c r="AA1068" s="5"/>
      <c r="AB1068" s="5"/>
      <c r="AC1068" s="5"/>
      <c r="AD1068" s="5"/>
      <c r="AE1068" s="5"/>
      <c r="AF1068" s="5"/>
      <c r="AG1068" s="5"/>
      <c r="AH1068" s="5"/>
      <c r="AI1068" s="5"/>
      <c r="AJ1068" s="5"/>
      <c r="AK1068" s="5"/>
      <c r="AL1068" s="5"/>
      <c r="AM1068" s="5"/>
      <c r="AN1068" s="5"/>
    </row>
    <row r="1069" spans="1:40" x14ac:dyDescent="0.35">
      <c r="A1069" s="5"/>
      <c r="B1069" s="1"/>
      <c r="C1069" s="1"/>
      <c r="D1069" s="1"/>
      <c r="E1069" s="50"/>
      <c r="F1069" s="50"/>
      <c r="G1069" s="50"/>
      <c r="H1069" s="50"/>
      <c r="I1069" s="50"/>
      <c r="J1069" s="50"/>
      <c r="K1069" s="50"/>
      <c r="L1069" s="50"/>
      <c r="M1069" s="50"/>
      <c r="N1069" s="50"/>
      <c r="O1069" s="50"/>
      <c r="P1069" s="50"/>
      <c r="Q1069" s="50"/>
      <c r="R1069" s="50"/>
      <c r="S1069" s="50"/>
      <c r="T1069" s="17"/>
      <c r="U1069" s="5"/>
      <c r="V1069" s="5"/>
      <c r="W1069" s="5"/>
      <c r="X1069" s="5"/>
      <c r="Y1069" s="5"/>
      <c r="Z1069" s="5"/>
      <c r="AA1069" s="5"/>
      <c r="AB1069" s="5"/>
      <c r="AC1069" s="5"/>
      <c r="AD1069" s="5"/>
      <c r="AE1069" s="5"/>
      <c r="AF1069" s="5"/>
      <c r="AG1069" s="5"/>
      <c r="AH1069" s="5"/>
      <c r="AI1069" s="5"/>
      <c r="AJ1069" s="5"/>
      <c r="AK1069" s="5"/>
      <c r="AL1069" s="5"/>
      <c r="AM1069" s="5"/>
      <c r="AN1069" s="5"/>
    </row>
    <row r="1070" spans="1:40" x14ac:dyDescent="0.35">
      <c r="A1070" s="5"/>
      <c r="B1070" s="1"/>
      <c r="C1070" s="1"/>
      <c r="D1070" s="1"/>
      <c r="E1070" s="50"/>
      <c r="F1070" s="50"/>
      <c r="G1070" s="50"/>
      <c r="H1070" s="50"/>
      <c r="I1070" s="50"/>
      <c r="J1070" s="50"/>
      <c r="K1070" s="50"/>
      <c r="L1070" s="50"/>
      <c r="M1070" s="50"/>
      <c r="N1070" s="50"/>
      <c r="O1070" s="50"/>
      <c r="P1070" s="50"/>
      <c r="Q1070" s="50"/>
      <c r="R1070" s="50"/>
      <c r="S1070" s="50"/>
      <c r="T1070" s="17"/>
      <c r="U1070" s="5"/>
      <c r="V1070" s="5"/>
      <c r="W1070" s="5"/>
      <c r="X1070" s="5"/>
      <c r="Y1070" s="5"/>
      <c r="Z1070" s="5"/>
      <c r="AA1070" s="5"/>
      <c r="AB1070" s="5"/>
      <c r="AC1070" s="5"/>
      <c r="AD1070" s="5"/>
      <c r="AE1070" s="5"/>
      <c r="AF1070" s="5"/>
      <c r="AG1070" s="5"/>
      <c r="AH1070" s="5"/>
      <c r="AI1070" s="5"/>
      <c r="AJ1070" s="5"/>
      <c r="AK1070" s="5"/>
      <c r="AL1070" s="5"/>
      <c r="AM1070" s="5"/>
      <c r="AN1070" s="5"/>
    </row>
    <row r="1071" spans="1:40" x14ac:dyDescent="0.35">
      <c r="A1071" s="5"/>
      <c r="B1071" s="1"/>
      <c r="C1071" s="1"/>
      <c r="D1071" s="1"/>
      <c r="E1071" s="50"/>
      <c r="F1071" s="50"/>
      <c r="G1071" s="50"/>
      <c r="H1071" s="50"/>
      <c r="I1071" s="50"/>
      <c r="J1071" s="50"/>
      <c r="K1071" s="50"/>
      <c r="L1071" s="50"/>
      <c r="M1071" s="50"/>
      <c r="N1071" s="50"/>
      <c r="O1071" s="50"/>
      <c r="P1071" s="50"/>
      <c r="Q1071" s="50"/>
      <c r="R1071" s="50"/>
      <c r="S1071" s="50"/>
      <c r="T1071" s="17"/>
      <c r="U1071" s="5"/>
      <c r="V1071" s="5"/>
      <c r="W1071" s="5"/>
      <c r="X1071" s="5"/>
      <c r="Y1071" s="5"/>
      <c r="Z1071" s="5"/>
      <c r="AA1071" s="5"/>
      <c r="AB1071" s="5"/>
      <c r="AC1071" s="5"/>
      <c r="AD1071" s="5"/>
      <c r="AE1071" s="5"/>
      <c r="AF1071" s="5"/>
      <c r="AG1071" s="5"/>
      <c r="AH1071" s="5"/>
      <c r="AI1071" s="5"/>
      <c r="AJ1071" s="5"/>
      <c r="AK1071" s="5"/>
      <c r="AL1071" s="5"/>
      <c r="AM1071" s="5"/>
      <c r="AN1071" s="5"/>
    </row>
    <row r="1072" spans="1:40" x14ac:dyDescent="0.35">
      <c r="A1072" s="5"/>
      <c r="B1072" s="1"/>
      <c r="C1072" s="1"/>
      <c r="D1072" s="1"/>
      <c r="E1072" s="50"/>
      <c r="F1072" s="50"/>
      <c r="G1072" s="50"/>
      <c r="H1072" s="50"/>
      <c r="I1072" s="50"/>
      <c r="J1072" s="50"/>
      <c r="K1072" s="50"/>
      <c r="L1072" s="50"/>
      <c r="M1072" s="50"/>
      <c r="N1072" s="50"/>
      <c r="O1072" s="50"/>
      <c r="P1072" s="50"/>
      <c r="Q1072" s="50"/>
      <c r="R1072" s="50"/>
      <c r="S1072" s="50"/>
      <c r="T1072" s="17"/>
      <c r="U1072" s="5"/>
      <c r="V1072" s="5"/>
      <c r="W1072" s="5"/>
      <c r="X1072" s="5"/>
      <c r="Y1072" s="5"/>
      <c r="Z1072" s="5"/>
      <c r="AA1072" s="5"/>
      <c r="AB1072" s="5"/>
      <c r="AC1072" s="5"/>
      <c r="AD1072" s="5"/>
      <c r="AE1072" s="5"/>
      <c r="AF1072" s="5"/>
      <c r="AG1072" s="5"/>
      <c r="AH1072" s="5"/>
      <c r="AI1072" s="5"/>
      <c r="AJ1072" s="5"/>
      <c r="AK1072" s="5"/>
      <c r="AL1072" s="5"/>
      <c r="AM1072" s="5"/>
      <c r="AN1072" s="5"/>
    </row>
    <row r="1073" spans="1:40" x14ac:dyDescent="0.35">
      <c r="A1073" s="5"/>
      <c r="B1073" s="1"/>
      <c r="C1073" s="1"/>
      <c r="D1073" s="1"/>
      <c r="E1073" s="50"/>
      <c r="F1073" s="50"/>
      <c r="G1073" s="50"/>
      <c r="H1073" s="50"/>
      <c r="I1073" s="50"/>
      <c r="J1073" s="50"/>
      <c r="K1073" s="50"/>
      <c r="L1073" s="50"/>
      <c r="M1073" s="50"/>
      <c r="N1073" s="50"/>
      <c r="O1073" s="50"/>
      <c r="P1073" s="50"/>
      <c r="Q1073" s="50"/>
      <c r="R1073" s="50"/>
      <c r="S1073" s="50"/>
      <c r="T1073" s="17"/>
      <c r="U1073" s="5"/>
      <c r="V1073" s="5"/>
      <c r="W1073" s="5"/>
      <c r="X1073" s="5"/>
      <c r="Y1073" s="5"/>
      <c r="Z1073" s="5"/>
      <c r="AA1073" s="5"/>
      <c r="AB1073" s="5"/>
      <c r="AC1073" s="5"/>
      <c r="AD1073" s="5"/>
      <c r="AE1073" s="5"/>
      <c r="AF1073" s="5"/>
      <c r="AG1073" s="5"/>
      <c r="AH1073" s="5"/>
      <c r="AI1073" s="5"/>
      <c r="AJ1073" s="5"/>
      <c r="AK1073" s="5"/>
      <c r="AL1073" s="5"/>
      <c r="AM1073" s="5"/>
      <c r="AN1073" s="5"/>
    </row>
    <row r="1074" spans="1:40" x14ac:dyDescent="0.35">
      <c r="A1074" s="5"/>
      <c r="B1074" s="1"/>
      <c r="C1074" s="1"/>
      <c r="D1074" s="1"/>
      <c r="E1074" s="50"/>
      <c r="F1074" s="50"/>
      <c r="G1074" s="50"/>
      <c r="H1074" s="50"/>
      <c r="I1074" s="50"/>
      <c r="J1074" s="50"/>
      <c r="K1074" s="50"/>
      <c r="L1074" s="50"/>
      <c r="M1074" s="50"/>
      <c r="N1074" s="50"/>
      <c r="O1074" s="50"/>
      <c r="P1074" s="50"/>
      <c r="Q1074" s="50"/>
      <c r="R1074" s="50"/>
      <c r="S1074" s="50"/>
      <c r="T1074" s="17"/>
      <c r="U1074" s="5"/>
      <c r="V1074" s="5"/>
      <c r="W1074" s="5"/>
      <c r="X1074" s="5"/>
      <c r="Y1074" s="5"/>
      <c r="Z1074" s="5"/>
      <c r="AA1074" s="5"/>
      <c r="AB1074" s="5"/>
      <c r="AC1074" s="5"/>
      <c r="AD1074" s="5"/>
      <c r="AE1074" s="5"/>
      <c r="AF1074" s="5"/>
      <c r="AG1074" s="5"/>
      <c r="AH1074" s="5"/>
      <c r="AI1074" s="5"/>
      <c r="AJ1074" s="5"/>
      <c r="AK1074" s="5"/>
      <c r="AL1074" s="5"/>
      <c r="AM1074" s="5"/>
      <c r="AN1074" s="5"/>
    </row>
    <row r="1075" spans="1:40" x14ac:dyDescent="0.35">
      <c r="A1075" s="5"/>
      <c r="B1075" s="1"/>
      <c r="C1075" s="1"/>
      <c r="D1075" s="1"/>
      <c r="E1075" s="50"/>
      <c r="F1075" s="50"/>
      <c r="G1075" s="50"/>
      <c r="H1075" s="50"/>
      <c r="I1075" s="50"/>
      <c r="J1075" s="50"/>
      <c r="K1075" s="50"/>
      <c r="L1075" s="50"/>
      <c r="M1075" s="50"/>
      <c r="N1075" s="50"/>
      <c r="O1075" s="50"/>
      <c r="P1075" s="50"/>
      <c r="Q1075" s="50"/>
      <c r="R1075" s="50"/>
      <c r="S1075" s="50"/>
      <c r="T1075" s="17"/>
      <c r="U1075" s="5"/>
      <c r="V1075" s="5"/>
      <c r="W1075" s="5"/>
      <c r="X1075" s="5"/>
      <c r="Y1075" s="5"/>
      <c r="Z1075" s="5"/>
      <c r="AA1075" s="5"/>
      <c r="AB1075" s="5"/>
      <c r="AC1075" s="5"/>
      <c r="AD1075" s="5"/>
      <c r="AE1075" s="5"/>
      <c r="AF1075" s="5"/>
      <c r="AG1075" s="5"/>
      <c r="AH1075" s="5"/>
      <c r="AI1075" s="5"/>
      <c r="AJ1075" s="5"/>
      <c r="AK1075" s="5"/>
      <c r="AL1075" s="5"/>
      <c r="AM1075" s="5"/>
      <c r="AN1075" s="5"/>
    </row>
    <row r="1076" spans="1:40" x14ac:dyDescent="0.35">
      <c r="A1076" s="5"/>
      <c r="B1076" s="1"/>
      <c r="C1076" s="1"/>
      <c r="D1076" s="1"/>
      <c r="E1076" s="50"/>
      <c r="F1076" s="50"/>
      <c r="G1076" s="50"/>
      <c r="H1076" s="50"/>
      <c r="I1076" s="50"/>
      <c r="J1076" s="50"/>
      <c r="K1076" s="50"/>
      <c r="L1076" s="50"/>
      <c r="M1076" s="50"/>
      <c r="N1076" s="50"/>
      <c r="O1076" s="50"/>
      <c r="P1076" s="50"/>
      <c r="Q1076" s="50"/>
      <c r="R1076" s="50"/>
      <c r="S1076" s="50"/>
      <c r="T1076" s="17"/>
      <c r="U1076" s="5"/>
      <c r="V1076" s="5"/>
      <c r="W1076" s="5"/>
      <c r="X1076" s="5"/>
      <c r="Y1076" s="5"/>
      <c r="Z1076" s="5"/>
      <c r="AA1076" s="5"/>
      <c r="AB1076" s="5"/>
      <c r="AC1076" s="5"/>
      <c r="AD1076" s="5"/>
      <c r="AE1076" s="5"/>
      <c r="AF1076" s="5"/>
      <c r="AG1076" s="5"/>
      <c r="AH1076" s="5"/>
      <c r="AI1076" s="5"/>
      <c r="AJ1076" s="5"/>
      <c r="AK1076" s="5"/>
      <c r="AL1076" s="5"/>
      <c r="AM1076" s="5"/>
      <c r="AN1076" s="5"/>
    </row>
    <row r="1077" spans="1:40" x14ac:dyDescent="0.35">
      <c r="A1077" s="5"/>
      <c r="B1077" s="1"/>
      <c r="C1077" s="1"/>
      <c r="D1077" s="1"/>
      <c r="E1077" s="50"/>
      <c r="F1077" s="50"/>
      <c r="G1077" s="50"/>
      <c r="H1077" s="50"/>
      <c r="I1077" s="50"/>
      <c r="J1077" s="50"/>
      <c r="K1077" s="50"/>
      <c r="L1077" s="50"/>
      <c r="M1077" s="50"/>
      <c r="N1077" s="50"/>
      <c r="O1077" s="50"/>
      <c r="P1077" s="50"/>
      <c r="Q1077" s="50"/>
      <c r="R1077" s="50"/>
      <c r="S1077" s="50"/>
      <c r="T1077" s="17"/>
      <c r="U1077" s="5"/>
      <c r="V1077" s="5"/>
      <c r="W1077" s="5"/>
      <c r="X1077" s="5"/>
      <c r="Y1077" s="5"/>
      <c r="Z1077" s="5"/>
      <c r="AA1077" s="5"/>
      <c r="AB1077" s="5"/>
      <c r="AC1077" s="5"/>
      <c r="AD1077" s="5"/>
      <c r="AE1077" s="5"/>
      <c r="AF1077" s="5"/>
      <c r="AG1077" s="5"/>
      <c r="AH1077" s="5"/>
      <c r="AI1077" s="5"/>
      <c r="AJ1077" s="5"/>
      <c r="AK1077" s="5"/>
      <c r="AL1077" s="5"/>
      <c r="AM1077" s="5"/>
      <c r="AN1077" s="5"/>
    </row>
    <row r="1078" spans="1:40" x14ac:dyDescent="0.35">
      <c r="A1078" s="5"/>
      <c r="B1078" s="1"/>
      <c r="C1078" s="1"/>
      <c r="D1078" s="1"/>
      <c r="E1078" s="50"/>
      <c r="F1078" s="50"/>
      <c r="G1078" s="50"/>
      <c r="H1078" s="50"/>
      <c r="I1078" s="50"/>
      <c r="J1078" s="50"/>
      <c r="K1078" s="50"/>
      <c r="L1078" s="50"/>
      <c r="M1078" s="50"/>
      <c r="N1078" s="50"/>
      <c r="O1078" s="50"/>
      <c r="P1078" s="50"/>
      <c r="Q1078" s="50"/>
      <c r="R1078" s="50"/>
      <c r="S1078" s="50"/>
      <c r="T1078" s="17"/>
      <c r="U1078" s="5"/>
      <c r="V1078" s="5"/>
      <c r="W1078" s="5"/>
      <c r="X1078" s="5"/>
      <c r="Y1078" s="5"/>
      <c r="Z1078" s="5"/>
      <c r="AA1078" s="5"/>
      <c r="AB1078" s="5"/>
      <c r="AC1078" s="5"/>
      <c r="AD1078" s="5"/>
      <c r="AE1078" s="5"/>
      <c r="AF1078" s="5"/>
      <c r="AG1078" s="5"/>
      <c r="AH1078" s="5"/>
      <c r="AI1078" s="5"/>
      <c r="AJ1078" s="5"/>
      <c r="AK1078" s="5"/>
      <c r="AL1078" s="5"/>
      <c r="AM1078" s="5"/>
      <c r="AN1078" s="5"/>
    </row>
    <row r="1079" spans="1:40" x14ac:dyDescent="0.35">
      <c r="A1079" s="5"/>
      <c r="B1079" s="1"/>
      <c r="C1079" s="1"/>
      <c r="D1079" s="1"/>
      <c r="E1079" s="50"/>
      <c r="F1079" s="50"/>
      <c r="G1079" s="50"/>
      <c r="H1079" s="50"/>
      <c r="I1079" s="50"/>
      <c r="J1079" s="50"/>
      <c r="K1079" s="50"/>
      <c r="L1079" s="50"/>
      <c r="M1079" s="50"/>
      <c r="N1079" s="50"/>
      <c r="O1079" s="50"/>
      <c r="P1079" s="50"/>
      <c r="Q1079" s="50"/>
      <c r="R1079" s="50"/>
      <c r="S1079" s="50"/>
      <c r="T1079" s="17"/>
      <c r="U1079" s="5"/>
      <c r="V1079" s="5"/>
      <c r="W1079" s="5"/>
      <c r="X1079" s="5"/>
      <c r="Y1079" s="5"/>
      <c r="Z1079" s="5"/>
      <c r="AA1079" s="5"/>
      <c r="AB1079" s="5"/>
      <c r="AC1079" s="5"/>
      <c r="AD1079" s="5"/>
      <c r="AE1079" s="5"/>
      <c r="AF1079" s="5"/>
      <c r="AG1079" s="5"/>
      <c r="AH1079" s="5"/>
      <c r="AI1079" s="5"/>
      <c r="AJ1079" s="5"/>
      <c r="AK1079" s="5"/>
      <c r="AL1079" s="5"/>
      <c r="AM1079" s="5"/>
      <c r="AN1079" s="5"/>
    </row>
    <row r="1080" spans="1:40" x14ac:dyDescent="0.35">
      <c r="A1080" s="5"/>
      <c r="B1080" s="1"/>
      <c r="C1080" s="1"/>
      <c r="D1080" s="1"/>
      <c r="E1080" s="50"/>
      <c r="F1080" s="50"/>
      <c r="G1080" s="50"/>
      <c r="H1080" s="50"/>
      <c r="I1080" s="50"/>
      <c r="J1080" s="50"/>
      <c r="K1080" s="50"/>
      <c r="L1080" s="50"/>
      <c r="M1080" s="50"/>
      <c r="N1080" s="50"/>
      <c r="O1080" s="50"/>
      <c r="P1080" s="50"/>
      <c r="Q1080" s="50"/>
      <c r="R1080" s="50"/>
      <c r="S1080" s="50"/>
      <c r="T1080" s="17"/>
      <c r="U1080" s="5"/>
      <c r="V1080" s="5"/>
      <c r="W1080" s="5"/>
      <c r="X1080" s="5"/>
      <c r="Y1080" s="5"/>
      <c r="Z1080" s="5"/>
      <c r="AA1080" s="5"/>
      <c r="AB1080" s="5"/>
      <c r="AC1080" s="5"/>
      <c r="AD1080" s="5"/>
      <c r="AE1080" s="5"/>
      <c r="AF1080" s="5"/>
      <c r="AG1080" s="5"/>
      <c r="AH1080" s="5"/>
      <c r="AI1080" s="5"/>
      <c r="AJ1080" s="5"/>
      <c r="AK1080" s="5"/>
      <c r="AL1080" s="5"/>
      <c r="AM1080" s="5"/>
      <c r="AN1080" s="5"/>
    </row>
    <row r="1081" spans="1:40" x14ac:dyDescent="0.35">
      <c r="A1081" s="5"/>
      <c r="B1081" s="1"/>
      <c r="C1081" s="1"/>
      <c r="D1081" s="1"/>
      <c r="E1081" s="50"/>
      <c r="F1081" s="50"/>
      <c r="G1081" s="50"/>
      <c r="H1081" s="50"/>
      <c r="I1081" s="50"/>
      <c r="J1081" s="50"/>
      <c r="K1081" s="50"/>
      <c r="L1081" s="50"/>
      <c r="M1081" s="50"/>
      <c r="N1081" s="50"/>
      <c r="O1081" s="50"/>
      <c r="P1081" s="50"/>
      <c r="Q1081" s="50"/>
      <c r="R1081" s="50"/>
      <c r="S1081" s="50"/>
      <c r="T1081" s="17"/>
      <c r="U1081" s="5"/>
      <c r="V1081" s="5"/>
      <c r="W1081" s="5"/>
      <c r="X1081" s="5"/>
      <c r="Y1081" s="5"/>
      <c r="Z1081" s="5"/>
      <c r="AA1081" s="5"/>
      <c r="AB1081" s="5"/>
      <c r="AC1081" s="5"/>
      <c r="AD1081" s="5"/>
      <c r="AE1081" s="5"/>
      <c r="AF1081" s="5"/>
      <c r="AG1081" s="5"/>
      <c r="AH1081" s="5"/>
      <c r="AI1081" s="5"/>
      <c r="AJ1081" s="5"/>
      <c r="AK1081" s="5"/>
      <c r="AL1081" s="5"/>
      <c r="AM1081" s="5"/>
      <c r="AN1081" s="5"/>
    </row>
    <row r="1082" spans="1:40" x14ac:dyDescent="0.35">
      <c r="A1082" s="5"/>
      <c r="B1082" s="1"/>
      <c r="C1082" s="1"/>
      <c r="D1082" s="1"/>
      <c r="E1082" s="50"/>
      <c r="F1082" s="50"/>
      <c r="G1082" s="50"/>
      <c r="H1082" s="50"/>
      <c r="I1082" s="50"/>
      <c r="J1082" s="50"/>
      <c r="K1082" s="50"/>
      <c r="L1082" s="50"/>
      <c r="M1082" s="50"/>
      <c r="N1082" s="50"/>
      <c r="O1082" s="50"/>
      <c r="P1082" s="50"/>
      <c r="Q1082" s="50"/>
      <c r="R1082" s="50"/>
      <c r="S1082" s="50"/>
      <c r="T1082" s="17"/>
      <c r="U1082" s="5"/>
      <c r="V1082" s="5"/>
      <c r="W1082" s="5"/>
      <c r="X1082" s="5"/>
      <c r="Y1082" s="5"/>
      <c r="Z1082" s="5"/>
      <c r="AA1082" s="5"/>
      <c r="AB1082" s="5"/>
      <c r="AC1082" s="5"/>
      <c r="AD1082" s="5"/>
      <c r="AE1082" s="5"/>
      <c r="AF1082" s="5"/>
      <c r="AG1082" s="5"/>
      <c r="AH1082" s="5"/>
      <c r="AI1082" s="5"/>
      <c r="AJ1082" s="5"/>
      <c r="AK1082" s="5"/>
      <c r="AL1082" s="5"/>
      <c r="AM1082" s="5"/>
      <c r="AN1082" s="5"/>
    </row>
    <row r="1083" spans="1:40" x14ac:dyDescent="0.35">
      <c r="A1083" s="5"/>
      <c r="B1083" s="1"/>
      <c r="C1083" s="1"/>
      <c r="D1083" s="1"/>
      <c r="E1083" s="50"/>
      <c r="F1083" s="50"/>
      <c r="G1083" s="50"/>
      <c r="H1083" s="50"/>
      <c r="I1083" s="50"/>
      <c r="J1083" s="50"/>
      <c r="K1083" s="50"/>
      <c r="L1083" s="50"/>
      <c r="M1083" s="50"/>
      <c r="N1083" s="50"/>
      <c r="O1083" s="50"/>
      <c r="P1083" s="50"/>
      <c r="Q1083" s="50"/>
      <c r="R1083" s="50"/>
      <c r="S1083" s="50"/>
      <c r="T1083" s="17"/>
      <c r="U1083" s="5"/>
      <c r="V1083" s="5"/>
      <c r="W1083" s="5"/>
      <c r="X1083" s="5"/>
      <c r="Y1083" s="5"/>
      <c r="Z1083" s="5"/>
      <c r="AA1083" s="5"/>
      <c r="AB1083" s="5"/>
      <c r="AC1083" s="5"/>
      <c r="AD1083" s="5"/>
      <c r="AE1083" s="5"/>
      <c r="AF1083" s="5"/>
      <c r="AG1083" s="5"/>
      <c r="AH1083" s="5"/>
      <c r="AI1083" s="5"/>
      <c r="AJ1083" s="5"/>
      <c r="AK1083" s="5"/>
      <c r="AL1083" s="5"/>
      <c r="AM1083" s="5"/>
      <c r="AN1083" s="5"/>
    </row>
    <row r="1084" spans="1:40" x14ac:dyDescent="0.35">
      <c r="A1084" s="5"/>
      <c r="B1084" s="1"/>
      <c r="C1084" s="1"/>
      <c r="D1084" s="1"/>
      <c r="E1084" s="50"/>
      <c r="F1084" s="50"/>
      <c r="G1084" s="50"/>
      <c r="H1084" s="50"/>
      <c r="I1084" s="50"/>
      <c r="J1084" s="50"/>
      <c r="K1084" s="50"/>
      <c r="L1084" s="50"/>
      <c r="M1084" s="50"/>
      <c r="N1084" s="50"/>
      <c r="O1084" s="50"/>
      <c r="P1084" s="50"/>
      <c r="Q1084" s="50"/>
      <c r="R1084" s="50"/>
      <c r="S1084" s="50"/>
      <c r="T1084" s="17"/>
      <c r="U1084" s="5"/>
      <c r="V1084" s="5"/>
      <c r="W1084" s="5"/>
      <c r="X1084" s="5"/>
      <c r="Y1084" s="5"/>
      <c r="Z1084" s="5"/>
      <c r="AA1084" s="5"/>
      <c r="AB1084" s="5"/>
      <c r="AC1084" s="5"/>
      <c r="AD1084" s="5"/>
      <c r="AE1084" s="5"/>
      <c r="AF1084" s="5"/>
      <c r="AG1084" s="5"/>
      <c r="AH1084" s="5"/>
      <c r="AI1084" s="5"/>
      <c r="AJ1084" s="5"/>
      <c r="AK1084" s="5"/>
      <c r="AL1084" s="5"/>
      <c r="AM1084" s="5"/>
      <c r="AN1084" s="5"/>
    </row>
    <row r="1085" spans="1:40" x14ac:dyDescent="0.35">
      <c r="A1085" s="5"/>
      <c r="B1085" s="1"/>
      <c r="C1085" s="1"/>
      <c r="D1085" s="1"/>
      <c r="E1085" s="50"/>
      <c r="F1085" s="50"/>
      <c r="G1085" s="50"/>
      <c r="H1085" s="50"/>
      <c r="I1085" s="50"/>
      <c r="J1085" s="50"/>
      <c r="K1085" s="50"/>
      <c r="L1085" s="50"/>
      <c r="M1085" s="50"/>
      <c r="N1085" s="50"/>
      <c r="O1085" s="50"/>
      <c r="P1085" s="50"/>
      <c r="Q1085" s="50"/>
      <c r="R1085" s="50"/>
      <c r="S1085" s="50"/>
      <c r="T1085" s="17"/>
      <c r="U1085" s="5"/>
      <c r="V1085" s="5"/>
      <c r="W1085" s="5"/>
      <c r="X1085" s="5"/>
      <c r="Y1085" s="5"/>
      <c r="Z1085" s="5"/>
      <c r="AA1085" s="5"/>
      <c r="AB1085" s="5"/>
      <c r="AC1085" s="5"/>
      <c r="AD1085" s="5"/>
      <c r="AE1085" s="5"/>
      <c r="AF1085" s="5"/>
      <c r="AG1085" s="5"/>
      <c r="AH1085" s="5"/>
      <c r="AI1085" s="5"/>
      <c r="AJ1085" s="5"/>
      <c r="AK1085" s="5"/>
      <c r="AL1085" s="5"/>
      <c r="AM1085" s="5"/>
      <c r="AN1085" s="5"/>
    </row>
    <row r="1086" spans="1:40" x14ac:dyDescent="0.35">
      <c r="A1086" s="5"/>
      <c r="B1086" s="1"/>
      <c r="C1086" s="1"/>
      <c r="D1086" s="1"/>
      <c r="E1086" s="50"/>
      <c r="F1086" s="50"/>
      <c r="G1086" s="50"/>
      <c r="H1086" s="50"/>
      <c r="I1086" s="50"/>
      <c r="J1086" s="50"/>
      <c r="K1086" s="50"/>
      <c r="L1086" s="50"/>
      <c r="M1086" s="50"/>
      <c r="N1086" s="50"/>
      <c r="O1086" s="50"/>
      <c r="P1086" s="50"/>
      <c r="Q1086" s="50"/>
      <c r="R1086" s="50"/>
      <c r="S1086" s="50"/>
      <c r="T1086" s="17"/>
      <c r="U1086" s="5"/>
      <c r="V1086" s="5"/>
      <c r="W1086" s="5"/>
      <c r="X1086" s="5"/>
      <c r="Y1086" s="5"/>
      <c r="Z1086" s="5"/>
      <c r="AA1086" s="5"/>
      <c r="AB1086" s="5"/>
      <c r="AC1086" s="5"/>
      <c r="AD1086" s="5"/>
      <c r="AE1086" s="5"/>
      <c r="AF1086" s="5"/>
      <c r="AG1086" s="5"/>
      <c r="AH1086" s="5"/>
      <c r="AI1086" s="5"/>
      <c r="AJ1086" s="5"/>
      <c r="AK1086" s="5"/>
      <c r="AL1086" s="5"/>
      <c r="AM1086" s="5"/>
      <c r="AN1086" s="5"/>
    </row>
    <row r="1087" spans="1:40" x14ac:dyDescent="0.35">
      <c r="A1087" s="5"/>
      <c r="B1087" s="1"/>
      <c r="C1087" s="1"/>
      <c r="D1087" s="1"/>
      <c r="E1087" s="50"/>
      <c r="F1087" s="50"/>
      <c r="G1087" s="50"/>
      <c r="H1087" s="50"/>
      <c r="I1087" s="50"/>
      <c r="J1087" s="50"/>
      <c r="K1087" s="50"/>
      <c r="L1087" s="50"/>
      <c r="M1087" s="50"/>
      <c r="N1087" s="50"/>
      <c r="O1087" s="50"/>
      <c r="P1087" s="50"/>
      <c r="Q1087" s="50"/>
      <c r="R1087" s="50"/>
      <c r="S1087" s="50"/>
      <c r="T1087" s="17"/>
      <c r="U1087" s="5"/>
      <c r="V1087" s="5"/>
      <c r="W1087" s="5"/>
      <c r="X1087" s="5"/>
      <c r="Y1087" s="5"/>
      <c r="Z1087" s="5"/>
      <c r="AA1087" s="5"/>
      <c r="AB1087" s="5"/>
      <c r="AC1087" s="5"/>
      <c r="AD1087" s="5"/>
      <c r="AE1087" s="5"/>
      <c r="AF1087" s="5"/>
      <c r="AG1087" s="5"/>
      <c r="AH1087" s="5"/>
      <c r="AI1087" s="5"/>
      <c r="AJ1087" s="5"/>
      <c r="AK1087" s="5"/>
      <c r="AL1087" s="5"/>
      <c r="AM1087" s="5"/>
      <c r="AN1087" s="5"/>
    </row>
    <row r="1088" spans="1:40" x14ac:dyDescent="0.35">
      <c r="A1088" s="5"/>
      <c r="B1088" s="1"/>
      <c r="C1088" s="1"/>
      <c r="D1088" s="1"/>
      <c r="E1088" s="50"/>
      <c r="F1088" s="50"/>
      <c r="G1088" s="50"/>
      <c r="H1088" s="50"/>
      <c r="I1088" s="50"/>
      <c r="J1088" s="50"/>
      <c r="K1088" s="50"/>
      <c r="L1088" s="50"/>
      <c r="M1088" s="50"/>
      <c r="N1088" s="50"/>
      <c r="O1088" s="50"/>
      <c r="P1088" s="50"/>
      <c r="Q1088" s="50"/>
      <c r="R1088" s="50"/>
      <c r="S1088" s="50"/>
      <c r="T1088" s="17"/>
      <c r="U1088" s="5"/>
      <c r="V1088" s="5"/>
      <c r="W1088" s="5"/>
      <c r="X1088" s="5"/>
      <c r="Y1088" s="5"/>
      <c r="Z1088" s="5"/>
      <c r="AA1088" s="5"/>
      <c r="AB1088" s="5"/>
      <c r="AC1088" s="5"/>
      <c r="AD1088" s="5"/>
      <c r="AE1088" s="5"/>
      <c r="AF1088" s="5"/>
      <c r="AG1088" s="5"/>
      <c r="AH1088" s="5"/>
      <c r="AI1088" s="5"/>
      <c r="AJ1088" s="5"/>
      <c r="AK1088" s="5"/>
      <c r="AL1088" s="5"/>
      <c r="AM1088" s="5"/>
      <c r="AN1088" s="5"/>
    </row>
    <row r="1089" spans="1:40" x14ac:dyDescent="0.35">
      <c r="A1089" s="5"/>
      <c r="B1089" s="1"/>
      <c r="C1089" s="1"/>
      <c r="D1089" s="1"/>
      <c r="E1089" s="50"/>
      <c r="F1089" s="50"/>
      <c r="G1089" s="50"/>
      <c r="H1089" s="50"/>
      <c r="I1089" s="50"/>
      <c r="J1089" s="50"/>
      <c r="K1089" s="50"/>
      <c r="L1089" s="50"/>
      <c r="M1089" s="50"/>
      <c r="N1089" s="50"/>
      <c r="O1089" s="50"/>
      <c r="P1089" s="50"/>
      <c r="Q1089" s="50"/>
      <c r="R1089" s="50"/>
      <c r="S1089" s="50"/>
      <c r="T1089" s="17"/>
      <c r="U1089" s="5"/>
      <c r="V1089" s="5"/>
      <c r="W1089" s="5"/>
      <c r="X1089" s="5"/>
      <c r="Y1089" s="5"/>
      <c r="Z1089" s="5"/>
      <c r="AA1089" s="5"/>
      <c r="AB1089" s="5"/>
      <c r="AC1089" s="5"/>
      <c r="AD1089" s="5"/>
      <c r="AE1089" s="5"/>
      <c r="AF1089" s="5"/>
      <c r="AG1089" s="5"/>
      <c r="AH1089" s="5"/>
      <c r="AI1089" s="5"/>
      <c r="AJ1089" s="5"/>
      <c r="AK1089" s="5"/>
      <c r="AL1089" s="5"/>
      <c r="AM1089" s="5"/>
      <c r="AN1089" s="5"/>
    </row>
    <row r="1090" spans="1:40" x14ac:dyDescent="0.35">
      <c r="A1090" s="5"/>
      <c r="B1090" s="1"/>
      <c r="C1090" s="1"/>
      <c r="D1090" s="1"/>
      <c r="E1090" s="50"/>
      <c r="F1090" s="50"/>
      <c r="G1090" s="50"/>
      <c r="H1090" s="50"/>
      <c r="I1090" s="50"/>
      <c r="J1090" s="50"/>
      <c r="K1090" s="50"/>
      <c r="L1090" s="50"/>
      <c r="M1090" s="50"/>
      <c r="N1090" s="50"/>
      <c r="O1090" s="50"/>
      <c r="P1090" s="50"/>
      <c r="Q1090" s="50"/>
      <c r="R1090" s="50"/>
      <c r="S1090" s="50"/>
      <c r="T1090" s="17"/>
      <c r="U1090" s="5"/>
      <c r="V1090" s="5"/>
      <c r="W1090" s="5"/>
      <c r="X1090" s="5"/>
      <c r="Y1090" s="5"/>
      <c r="Z1090" s="5"/>
      <c r="AA1090" s="5"/>
      <c r="AB1090" s="5"/>
      <c r="AC1090" s="5"/>
      <c r="AD1090" s="5"/>
      <c r="AE1090" s="5"/>
      <c r="AF1090" s="5"/>
      <c r="AG1090" s="5"/>
      <c r="AH1090" s="5"/>
      <c r="AI1090" s="5"/>
      <c r="AJ1090" s="5"/>
      <c r="AK1090" s="5"/>
      <c r="AL1090" s="5"/>
      <c r="AM1090" s="5"/>
      <c r="AN1090" s="5"/>
    </row>
    <row r="1091" spans="1:40" x14ac:dyDescent="0.35">
      <c r="A1091" s="5"/>
      <c r="B1091" s="1"/>
      <c r="C1091" s="1"/>
      <c r="D1091" s="1"/>
      <c r="E1091" s="50"/>
      <c r="F1091" s="50"/>
      <c r="G1091" s="50"/>
      <c r="H1091" s="50"/>
      <c r="I1091" s="50"/>
      <c r="J1091" s="50"/>
      <c r="K1091" s="50"/>
      <c r="L1091" s="50"/>
      <c r="M1091" s="50"/>
      <c r="N1091" s="50"/>
      <c r="O1091" s="50"/>
      <c r="P1091" s="50"/>
      <c r="Q1091" s="50"/>
      <c r="R1091" s="50"/>
      <c r="S1091" s="50"/>
      <c r="T1091" s="17"/>
      <c r="U1091" s="5"/>
      <c r="V1091" s="5"/>
      <c r="W1091" s="5"/>
      <c r="X1091" s="5"/>
      <c r="Y1091" s="5"/>
      <c r="Z1091" s="5"/>
      <c r="AA1091" s="5"/>
      <c r="AB1091" s="5"/>
      <c r="AC1091" s="5"/>
      <c r="AD1091" s="5"/>
      <c r="AE1091" s="5"/>
      <c r="AF1091" s="5"/>
      <c r="AG1091" s="5"/>
      <c r="AH1091" s="5"/>
      <c r="AI1091" s="5"/>
      <c r="AJ1091" s="5"/>
      <c r="AK1091" s="5"/>
      <c r="AL1091" s="5"/>
      <c r="AM1091" s="5"/>
      <c r="AN1091" s="5"/>
    </row>
    <row r="1092" spans="1:40" x14ac:dyDescent="0.35">
      <c r="A1092" s="5"/>
      <c r="B1092" s="1"/>
      <c r="C1092" s="1"/>
      <c r="D1092" s="1"/>
      <c r="E1092" s="50"/>
      <c r="F1092" s="50"/>
      <c r="G1092" s="50"/>
      <c r="H1092" s="50"/>
      <c r="I1092" s="50"/>
      <c r="J1092" s="50"/>
      <c r="K1092" s="50"/>
      <c r="L1092" s="50"/>
      <c r="M1092" s="50"/>
      <c r="N1092" s="50"/>
      <c r="O1092" s="50"/>
      <c r="P1092" s="50"/>
      <c r="Q1092" s="50"/>
      <c r="R1092" s="50"/>
      <c r="S1092" s="50"/>
      <c r="T1092" s="17"/>
      <c r="U1092" s="5"/>
      <c r="V1092" s="5"/>
      <c r="W1092" s="5"/>
      <c r="X1092" s="5"/>
      <c r="Y1092" s="5"/>
      <c r="Z1092" s="5"/>
      <c r="AA1092" s="5"/>
      <c r="AB1092" s="5"/>
      <c r="AC1092" s="5"/>
      <c r="AD1092" s="5"/>
      <c r="AE1092" s="5"/>
      <c r="AF1092" s="5"/>
      <c r="AG1092" s="5"/>
      <c r="AH1092" s="5"/>
      <c r="AI1092" s="5"/>
      <c r="AJ1092" s="5"/>
      <c r="AK1092" s="5"/>
      <c r="AL1092" s="5"/>
      <c r="AM1092" s="5"/>
      <c r="AN1092" s="5"/>
    </row>
    <row r="1093" spans="1:40" x14ac:dyDescent="0.35">
      <c r="A1093" s="5"/>
      <c r="B1093" s="1"/>
      <c r="C1093" s="1"/>
      <c r="D1093" s="1"/>
      <c r="E1093" s="50"/>
      <c r="F1093" s="50"/>
      <c r="G1093" s="50"/>
      <c r="H1093" s="50"/>
      <c r="I1093" s="50"/>
      <c r="J1093" s="50"/>
      <c r="K1093" s="50"/>
      <c r="L1093" s="50"/>
      <c r="M1093" s="50"/>
      <c r="N1093" s="50"/>
      <c r="O1093" s="50"/>
      <c r="P1093" s="50"/>
      <c r="Q1093" s="50"/>
      <c r="R1093" s="50"/>
      <c r="S1093" s="50"/>
      <c r="T1093" s="17"/>
      <c r="U1093" s="5"/>
      <c r="V1093" s="5"/>
      <c r="W1093" s="5"/>
      <c r="X1093" s="5"/>
      <c r="Y1093" s="5"/>
      <c r="Z1093" s="5"/>
      <c r="AA1093" s="5"/>
      <c r="AB1093" s="5"/>
      <c r="AC1093" s="5"/>
      <c r="AD1093" s="5"/>
      <c r="AE1093" s="5"/>
      <c r="AF1093" s="5"/>
      <c r="AG1093" s="5"/>
      <c r="AH1093" s="5"/>
      <c r="AI1093" s="5"/>
      <c r="AJ1093" s="5"/>
      <c r="AK1093" s="5"/>
      <c r="AL1093" s="5"/>
      <c r="AM1093" s="5"/>
      <c r="AN1093" s="5"/>
    </row>
    <row r="1094" spans="1:40" x14ac:dyDescent="0.35">
      <c r="A1094" s="5"/>
      <c r="B1094" s="1"/>
      <c r="C1094" s="1"/>
      <c r="D1094" s="1"/>
      <c r="E1094" s="50"/>
      <c r="F1094" s="50"/>
      <c r="G1094" s="50"/>
      <c r="H1094" s="50"/>
      <c r="I1094" s="50"/>
      <c r="J1094" s="50"/>
      <c r="K1094" s="50"/>
      <c r="L1094" s="50"/>
      <c r="M1094" s="50"/>
      <c r="N1094" s="50"/>
      <c r="O1094" s="50"/>
      <c r="P1094" s="50"/>
      <c r="Q1094" s="50"/>
      <c r="R1094" s="50"/>
      <c r="S1094" s="50"/>
      <c r="T1094" s="17"/>
      <c r="U1094" s="5"/>
      <c r="V1094" s="5"/>
      <c r="W1094" s="5"/>
      <c r="X1094" s="5"/>
      <c r="Y1094" s="5"/>
      <c r="Z1094" s="5"/>
      <c r="AA1094" s="5"/>
      <c r="AB1094" s="5"/>
      <c r="AC1094" s="5"/>
      <c r="AD1094" s="5"/>
      <c r="AE1094" s="5"/>
      <c r="AF1094" s="5"/>
      <c r="AG1094" s="5"/>
      <c r="AH1094" s="5"/>
      <c r="AI1094" s="5"/>
      <c r="AJ1094" s="5"/>
      <c r="AK1094" s="5"/>
      <c r="AL1094" s="5"/>
      <c r="AM1094" s="5"/>
      <c r="AN1094" s="5"/>
    </row>
    <row r="1095" spans="1:40" x14ac:dyDescent="0.35">
      <c r="A1095" s="5"/>
      <c r="B1095" s="1"/>
      <c r="C1095" s="1"/>
      <c r="D1095" s="1"/>
      <c r="E1095" s="50"/>
      <c r="F1095" s="50"/>
      <c r="G1095" s="50"/>
      <c r="H1095" s="50"/>
      <c r="I1095" s="50"/>
      <c r="J1095" s="50"/>
      <c r="K1095" s="50"/>
      <c r="L1095" s="50"/>
      <c r="M1095" s="50"/>
      <c r="N1095" s="50"/>
      <c r="O1095" s="50"/>
      <c r="P1095" s="50"/>
      <c r="Q1095" s="50"/>
      <c r="R1095" s="50"/>
      <c r="S1095" s="50"/>
      <c r="T1095" s="17"/>
      <c r="U1095" s="5"/>
      <c r="V1095" s="5"/>
      <c r="W1095" s="5"/>
      <c r="X1095" s="5"/>
      <c r="Y1095" s="5"/>
      <c r="Z1095" s="5"/>
      <c r="AA1095" s="5"/>
      <c r="AB1095" s="5"/>
      <c r="AC1095" s="5"/>
      <c r="AD1095" s="5"/>
      <c r="AE1095" s="5"/>
      <c r="AF1095" s="5"/>
      <c r="AG1095" s="5"/>
      <c r="AH1095" s="5"/>
      <c r="AI1095" s="5"/>
      <c r="AJ1095" s="5"/>
      <c r="AK1095" s="5"/>
      <c r="AL1095" s="5"/>
      <c r="AM1095" s="5"/>
      <c r="AN1095" s="5"/>
    </row>
    <row r="1096" spans="1:40" x14ac:dyDescent="0.35">
      <c r="A1096" s="5"/>
      <c r="B1096" s="1"/>
      <c r="C1096" s="1"/>
      <c r="D1096" s="1"/>
      <c r="E1096" s="50"/>
      <c r="F1096" s="50"/>
      <c r="G1096" s="50"/>
      <c r="H1096" s="50"/>
      <c r="I1096" s="50"/>
      <c r="J1096" s="50"/>
      <c r="K1096" s="50"/>
      <c r="L1096" s="50"/>
      <c r="M1096" s="50"/>
      <c r="N1096" s="50"/>
      <c r="O1096" s="50"/>
      <c r="P1096" s="50"/>
      <c r="Q1096" s="50"/>
      <c r="R1096" s="50"/>
      <c r="S1096" s="50"/>
      <c r="T1096" s="17"/>
      <c r="U1096" s="5"/>
      <c r="V1096" s="5"/>
      <c r="W1096" s="5"/>
      <c r="X1096" s="5"/>
      <c r="Y1096" s="5"/>
      <c r="Z1096" s="5"/>
      <c r="AA1096" s="5"/>
      <c r="AB1096" s="5"/>
      <c r="AC1096" s="5"/>
      <c r="AD1096" s="5"/>
      <c r="AE1096" s="5"/>
      <c r="AF1096" s="5"/>
      <c r="AG1096" s="5"/>
      <c r="AH1096" s="5"/>
      <c r="AI1096" s="5"/>
      <c r="AJ1096" s="5"/>
      <c r="AK1096" s="5"/>
      <c r="AL1096" s="5"/>
      <c r="AM1096" s="5"/>
      <c r="AN1096" s="5"/>
    </row>
    <row r="1097" spans="1:40" x14ac:dyDescent="0.35">
      <c r="A1097" s="5"/>
      <c r="B1097" s="1"/>
      <c r="C1097" s="1"/>
      <c r="D1097" s="1"/>
      <c r="E1097" s="50"/>
      <c r="F1097" s="50"/>
      <c r="G1097" s="50"/>
      <c r="H1097" s="50"/>
      <c r="I1097" s="50"/>
      <c r="J1097" s="50"/>
      <c r="K1097" s="50"/>
      <c r="L1097" s="50"/>
      <c r="M1097" s="50"/>
      <c r="N1097" s="50"/>
      <c r="O1097" s="50"/>
      <c r="P1097" s="50"/>
      <c r="Q1097" s="50"/>
      <c r="R1097" s="50"/>
      <c r="S1097" s="50"/>
      <c r="T1097" s="17"/>
      <c r="U1097" s="5"/>
      <c r="V1097" s="5"/>
      <c r="W1097" s="5"/>
      <c r="X1097" s="5"/>
      <c r="Y1097" s="5"/>
      <c r="Z1097" s="5"/>
      <c r="AA1097" s="5"/>
      <c r="AB1097" s="5"/>
      <c r="AC1097" s="5"/>
      <c r="AD1097" s="5"/>
      <c r="AE1097" s="5"/>
      <c r="AF1097" s="5"/>
      <c r="AG1097" s="5"/>
      <c r="AH1097" s="5"/>
      <c r="AI1097" s="5"/>
      <c r="AJ1097" s="5"/>
      <c r="AK1097" s="5"/>
      <c r="AL1097" s="5"/>
      <c r="AM1097" s="5"/>
      <c r="AN1097" s="5"/>
    </row>
    <row r="1098" spans="1:40" x14ac:dyDescent="0.35">
      <c r="A1098" s="5"/>
      <c r="B1098" s="1"/>
      <c r="C1098" s="1"/>
      <c r="D1098" s="1"/>
      <c r="E1098" s="50"/>
      <c r="F1098" s="50"/>
      <c r="G1098" s="50"/>
      <c r="H1098" s="50"/>
      <c r="I1098" s="50"/>
      <c r="J1098" s="50"/>
      <c r="K1098" s="50"/>
      <c r="L1098" s="50"/>
      <c r="M1098" s="50"/>
      <c r="N1098" s="50"/>
      <c r="O1098" s="50"/>
      <c r="P1098" s="50"/>
      <c r="Q1098" s="50"/>
      <c r="R1098" s="50"/>
      <c r="S1098" s="50"/>
      <c r="T1098" s="17"/>
      <c r="U1098" s="5"/>
      <c r="V1098" s="5"/>
      <c r="W1098" s="5"/>
      <c r="X1098" s="5"/>
      <c r="Y1098" s="5"/>
      <c r="Z1098" s="5"/>
      <c r="AA1098" s="5"/>
      <c r="AB1098" s="5"/>
      <c r="AC1098" s="5"/>
      <c r="AD1098" s="5"/>
      <c r="AE1098" s="5"/>
      <c r="AF1098" s="5"/>
      <c r="AG1098" s="5"/>
      <c r="AH1098" s="5"/>
      <c r="AI1098" s="5"/>
      <c r="AJ1098" s="5"/>
      <c r="AK1098" s="5"/>
      <c r="AL1098" s="5"/>
      <c r="AM1098" s="5"/>
      <c r="AN1098" s="5"/>
    </row>
    <row r="1099" spans="1:40" x14ac:dyDescent="0.35">
      <c r="A1099" s="5"/>
      <c r="B1099" s="1"/>
      <c r="C1099" s="1"/>
      <c r="D1099" s="1"/>
      <c r="E1099" s="50"/>
      <c r="F1099" s="50"/>
      <c r="G1099" s="50"/>
      <c r="H1099" s="50"/>
      <c r="I1099" s="50"/>
      <c r="J1099" s="50"/>
      <c r="K1099" s="50"/>
      <c r="L1099" s="50"/>
      <c r="M1099" s="50"/>
      <c r="N1099" s="50"/>
      <c r="O1099" s="50"/>
      <c r="P1099" s="50"/>
      <c r="Q1099" s="50"/>
      <c r="R1099" s="50"/>
      <c r="S1099" s="50"/>
      <c r="T1099" s="17"/>
      <c r="U1099" s="5"/>
      <c r="V1099" s="5"/>
      <c r="W1099" s="5"/>
      <c r="X1099" s="5"/>
      <c r="Y1099" s="5"/>
      <c r="Z1099" s="5"/>
      <c r="AA1099" s="5"/>
      <c r="AB1099" s="5"/>
      <c r="AC1099" s="5"/>
      <c r="AD1099" s="5"/>
      <c r="AE1099" s="5"/>
      <c r="AF1099" s="5"/>
      <c r="AG1099" s="5"/>
      <c r="AH1099" s="5"/>
      <c r="AI1099" s="5"/>
      <c r="AJ1099" s="5"/>
      <c r="AK1099" s="5"/>
      <c r="AL1099" s="5"/>
      <c r="AM1099" s="5"/>
      <c r="AN1099" s="5"/>
    </row>
    <row r="1100" spans="1:40" x14ac:dyDescent="0.35">
      <c r="A1100" s="5"/>
      <c r="B1100" s="1"/>
      <c r="C1100" s="1"/>
      <c r="D1100" s="1"/>
      <c r="E1100" s="50"/>
      <c r="F1100" s="50"/>
      <c r="G1100" s="50"/>
      <c r="H1100" s="50"/>
      <c r="I1100" s="50"/>
      <c r="J1100" s="50"/>
      <c r="K1100" s="50"/>
      <c r="L1100" s="50"/>
      <c r="M1100" s="50"/>
      <c r="N1100" s="50"/>
      <c r="O1100" s="50"/>
      <c r="P1100" s="50"/>
      <c r="Q1100" s="50"/>
      <c r="R1100" s="50"/>
      <c r="S1100" s="50"/>
      <c r="T1100" s="17"/>
      <c r="U1100" s="5"/>
      <c r="V1100" s="5"/>
      <c r="W1100" s="5"/>
      <c r="X1100" s="5"/>
      <c r="Y1100" s="5"/>
      <c r="Z1100" s="5"/>
      <c r="AA1100" s="5"/>
      <c r="AB1100" s="5"/>
      <c r="AC1100" s="5"/>
      <c r="AD1100" s="5"/>
      <c r="AE1100" s="5"/>
      <c r="AF1100" s="5"/>
      <c r="AG1100" s="5"/>
      <c r="AH1100" s="5"/>
      <c r="AI1100" s="5"/>
      <c r="AJ1100" s="5"/>
      <c r="AK1100" s="5"/>
      <c r="AL1100" s="5"/>
      <c r="AM1100" s="5"/>
      <c r="AN1100" s="5"/>
    </row>
    <row r="1101" spans="1:40" x14ac:dyDescent="0.35">
      <c r="A1101" s="5"/>
      <c r="B1101" s="1"/>
      <c r="C1101" s="1"/>
      <c r="D1101" s="1"/>
      <c r="E1101" s="50"/>
      <c r="F1101" s="50"/>
      <c r="G1101" s="50"/>
      <c r="H1101" s="50"/>
      <c r="I1101" s="50"/>
      <c r="J1101" s="50"/>
      <c r="K1101" s="50"/>
      <c r="L1101" s="50"/>
      <c r="M1101" s="50"/>
      <c r="N1101" s="50"/>
      <c r="O1101" s="50"/>
      <c r="P1101" s="50"/>
      <c r="Q1101" s="50"/>
      <c r="R1101" s="50"/>
      <c r="S1101" s="50"/>
      <c r="T1101" s="17"/>
      <c r="U1101" s="5"/>
      <c r="V1101" s="5"/>
      <c r="W1101" s="5"/>
      <c r="X1101" s="5"/>
      <c r="Y1101" s="5"/>
      <c r="Z1101" s="5"/>
      <c r="AA1101" s="5"/>
      <c r="AB1101" s="5"/>
      <c r="AC1101" s="5"/>
      <c r="AD1101" s="5"/>
      <c r="AE1101" s="5"/>
      <c r="AF1101" s="5"/>
      <c r="AG1101" s="5"/>
      <c r="AH1101" s="5"/>
      <c r="AI1101" s="5"/>
      <c r="AJ1101" s="5"/>
      <c r="AK1101" s="5"/>
      <c r="AL1101" s="5"/>
      <c r="AM1101" s="5"/>
      <c r="AN1101" s="5"/>
    </row>
    <row r="1102" spans="1:40" x14ac:dyDescent="0.35">
      <c r="A1102" s="5"/>
      <c r="B1102" s="1"/>
      <c r="C1102" s="1"/>
      <c r="D1102" s="1"/>
      <c r="E1102" s="50"/>
      <c r="F1102" s="50"/>
      <c r="G1102" s="50"/>
      <c r="H1102" s="50"/>
      <c r="I1102" s="50"/>
      <c r="J1102" s="50"/>
      <c r="K1102" s="50"/>
      <c r="L1102" s="50"/>
      <c r="M1102" s="50"/>
      <c r="N1102" s="50"/>
      <c r="O1102" s="50"/>
      <c r="P1102" s="50"/>
      <c r="Q1102" s="50"/>
      <c r="R1102" s="50"/>
      <c r="S1102" s="50"/>
      <c r="T1102" s="17"/>
      <c r="U1102" s="5"/>
      <c r="V1102" s="5"/>
      <c r="W1102" s="5"/>
      <c r="X1102" s="5"/>
      <c r="Y1102" s="5"/>
      <c r="Z1102" s="5"/>
      <c r="AA1102" s="5"/>
      <c r="AB1102" s="5"/>
      <c r="AC1102" s="5"/>
      <c r="AD1102" s="5"/>
      <c r="AE1102" s="5"/>
      <c r="AF1102" s="5"/>
      <c r="AG1102" s="5"/>
      <c r="AH1102" s="5"/>
      <c r="AI1102" s="5"/>
      <c r="AJ1102" s="5"/>
      <c r="AK1102" s="5"/>
      <c r="AL1102" s="5"/>
      <c r="AM1102" s="5"/>
      <c r="AN1102" s="5"/>
    </row>
    <row r="1103" spans="1:40" x14ac:dyDescent="0.35">
      <c r="A1103" s="5"/>
      <c r="B1103" s="1"/>
      <c r="C1103" s="1"/>
      <c r="D1103" s="1"/>
      <c r="E1103" s="50"/>
      <c r="F1103" s="50"/>
      <c r="G1103" s="50"/>
      <c r="H1103" s="50"/>
      <c r="I1103" s="50"/>
      <c r="J1103" s="50"/>
      <c r="K1103" s="50"/>
      <c r="L1103" s="50"/>
      <c r="M1103" s="50"/>
      <c r="N1103" s="50"/>
      <c r="O1103" s="50"/>
      <c r="P1103" s="50"/>
      <c r="Q1103" s="50"/>
      <c r="R1103" s="50"/>
      <c r="S1103" s="50"/>
      <c r="T1103" s="17"/>
      <c r="U1103" s="5"/>
      <c r="V1103" s="5"/>
      <c r="W1103" s="5"/>
      <c r="X1103" s="5"/>
      <c r="Y1103" s="5"/>
      <c r="Z1103" s="5"/>
      <c r="AA1103" s="5"/>
      <c r="AB1103" s="5"/>
      <c r="AC1103" s="5"/>
      <c r="AD1103" s="5"/>
      <c r="AE1103" s="5"/>
      <c r="AF1103" s="5"/>
      <c r="AG1103" s="5"/>
      <c r="AH1103" s="5"/>
      <c r="AI1103" s="5"/>
      <c r="AJ1103" s="5"/>
      <c r="AK1103" s="5"/>
      <c r="AL1103" s="5"/>
      <c r="AM1103" s="5"/>
      <c r="AN1103" s="5"/>
    </row>
    <row r="1104" spans="1:40" x14ac:dyDescent="0.35">
      <c r="A1104" s="5"/>
      <c r="B1104" s="1"/>
      <c r="C1104" s="1"/>
      <c r="D1104" s="1"/>
      <c r="E1104" s="50"/>
      <c r="F1104" s="50"/>
      <c r="G1104" s="50"/>
      <c r="H1104" s="50"/>
      <c r="I1104" s="50"/>
      <c r="J1104" s="50"/>
      <c r="K1104" s="50"/>
      <c r="L1104" s="50"/>
      <c r="M1104" s="50"/>
      <c r="N1104" s="50"/>
      <c r="O1104" s="50"/>
      <c r="P1104" s="50"/>
      <c r="Q1104" s="50"/>
      <c r="R1104" s="50"/>
      <c r="S1104" s="50"/>
      <c r="T1104" s="17"/>
      <c r="U1104" s="5"/>
      <c r="V1104" s="5"/>
      <c r="W1104" s="5"/>
      <c r="X1104" s="5"/>
      <c r="Y1104" s="5"/>
      <c r="Z1104" s="5"/>
      <c r="AA1104" s="5"/>
      <c r="AB1104" s="5"/>
      <c r="AC1104" s="5"/>
      <c r="AD1104" s="5"/>
      <c r="AE1104" s="5"/>
      <c r="AF1104" s="5"/>
      <c r="AG1104" s="5"/>
      <c r="AH1104" s="5"/>
      <c r="AI1104" s="5"/>
      <c r="AJ1104" s="5"/>
      <c r="AK1104" s="5"/>
      <c r="AL1104" s="5"/>
      <c r="AM1104" s="5"/>
      <c r="AN1104" s="5"/>
    </row>
    <row r="1105" spans="1:40" x14ac:dyDescent="0.35">
      <c r="A1105" s="5"/>
      <c r="B1105" s="1"/>
      <c r="C1105" s="1"/>
      <c r="D1105" s="1"/>
      <c r="E1105" s="50"/>
      <c r="F1105" s="50"/>
      <c r="G1105" s="50"/>
      <c r="H1105" s="50"/>
      <c r="I1105" s="50"/>
      <c r="J1105" s="50"/>
      <c r="K1105" s="50"/>
      <c r="L1105" s="50"/>
      <c r="M1105" s="50"/>
      <c r="N1105" s="50"/>
      <c r="O1105" s="50"/>
      <c r="P1105" s="50"/>
      <c r="Q1105" s="50"/>
      <c r="R1105" s="50"/>
      <c r="S1105" s="50"/>
      <c r="T1105" s="17"/>
      <c r="U1105" s="5"/>
      <c r="V1105" s="5"/>
      <c r="W1105" s="5"/>
      <c r="X1105" s="5"/>
      <c r="Y1105" s="5"/>
      <c r="Z1105" s="5"/>
      <c r="AA1105" s="5"/>
      <c r="AB1105" s="5"/>
      <c r="AC1105" s="5"/>
      <c r="AD1105" s="5"/>
      <c r="AE1105" s="5"/>
      <c r="AF1105" s="5"/>
      <c r="AG1105" s="5"/>
      <c r="AH1105" s="5"/>
      <c r="AI1105" s="5"/>
      <c r="AJ1105" s="5"/>
      <c r="AK1105" s="5"/>
      <c r="AL1105" s="5"/>
      <c r="AM1105" s="5"/>
      <c r="AN1105" s="5"/>
    </row>
    <row r="1106" spans="1:40" x14ac:dyDescent="0.35">
      <c r="A1106" s="5"/>
      <c r="B1106" s="1"/>
      <c r="C1106" s="1"/>
      <c r="D1106" s="1"/>
      <c r="E1106" s="50"/>
      <c r="F1106" s="50"/>
      <c r="G1106" s="50"/>
      <c r="H1106" s="50"/>
      <c r="I1106" s="50"/>
      <c r="J1106" s="50"/>
      <c r="K1106" s="50"/>
      <c r="L1106" s="50"/>
      <c r="M1106" s="50"/>
      <c r="N1106" s="50"/>
      <c r="O1106" s="50"/>
      <c r="P1106" s="50"/>
      <c r="Q1106" s="50"/>
      <c r="R1106" s="50"/>
      <c r="S1106" s="50"/>
      <c r="T1106" s="17"/>
      <c r="U1106" s="5"/>
      <c r="V1106" s="5"/>
      <c r="W1106" s="5"/>
      <c r="X1106" s="5"/>
      <c r="Y1106" s="5"/>
      <c r="Z1106" s="5"/>
      <c r="AA1106" s="5"/>
      <c r="AB1106" s="5"/>
      <c r="AC1106" s="5"/>
      <c r="AD1106" s="5"/>
      <c r="AE1106" s="5"/>
      <c r="AF1106" s="5"/>
      <c r="AG1106" s="5"/>
      <c r="AH1106" s="5"/>
      <c r="AI1106" s="5"/>
      <c r="AJ1106" s="5"/>
      <c r="AK1106" s="5"/>
      <c r="AL1106" s="5"/>
      <c r="AM1106" s="5"/>
      <c r="AN1106" s="5"/>
    </row>
    <row r="1107" spans="1:40" x14ac:dyDescent="0.35">
      <c r="A1107" s="5"/>
      <c r="B1107" s="1"/>
      <c r="C1107" s="1"/>
      <c r="D1107" s="1"/>
      <c r="E1107" s="50"/>
      <c r="F1107" s="50"/>
      <c r="G1107" s="50"/>
      <c r="H1107" s="50"/>
      <c r="I1107" s="50"/>
      <c r="J1107" s="50"/>
      <c r="K1107" s="50"/>
      <c r="L1107" s="50"/>
      <c r="M1107" s="50"/>
      <c r="N1107" s="50"/>
      <c r="O1107" s="50"/>
      <c r="P1107" s="50"/>
      <c r="Q1107" s="50"/>
      <c r="R1107" s="50"/>
      <c r="S1107" s="50"/>
      <c r="T1107" s="17"/>
      <c r="U1107" s="5"/>
      <c r="V1107" s="5"/>
      <c r="W1107" s="5"/>
      <c r="X1107" s="5"/>
      <c r="Y1107" s="5"/>
      <c r="Z1107" s="5"/>
      <c r="AA1107" s="5"/>
      <c r="AB1107" s="5"/>
      <c r="AC1107" s="5"/>
      <c r="AD1107" s="5"/>
      <c r="AE1107" s="5"/>
      <c r="AF1107" s="5"/>
      <c r="AG1107" s="5"/>
      <c r="AH1107" s="5"/>
      <c r="AI1107" s="5"/>
      <c r="AJ1107" s="5"/>
      <c r="AK1107" s="5"/>
      <c r="AL1107" s="5"/>
      <c r="AM1107" s="5"/>
      <c r="AN1107" s="5"/>
    </row>
    <row r="1108" spans="1:40" x14ac:dyDescent="0.35">
      <c r="A1108" s="5"/>
      <c r="B1108" s="1"/>
      <c r="C1108" s="1"/>
      <c r="D1108" s="1"/>
      <c r="E1108" s="50"/>
      <c r="F1108" s="50"/>
      <c r="G1108" s="50"/>
      <c r="H1108" s="50"/>
      <c r="I1108" s="50"/>
      <c r="J1108" s="50"/>
      <c r="K1108" s="50"/>
      <c r="L1108" s="50"/>
      <c r="M1108" s="50"/>
      <c r="N1108" s="50"/>
      <c r="O1108" s="50"/>
      <c r="P1108" s="50"/>
      <c r="Q1108" s="50"/>
      <c r="R1108" s="50"/>
      <c r="S1108" s="50"/>
      <c r="T1108" s="17"/>
      <c r="U1108" s="5"/>
      <c r="V1108" s="5"/>
      <c r="W1108" s="5"/>
      <c r="X1108" s="5"/>
      <c r="Y1108" s="5"/>
      <c r="Z1108" s="5"/>
      <c r="AA1108" s="5"/>
      <c r="AB1108" s="5"/>
      <c r="AC1108" s="5"/>
      <c r="AD1108" s="5"/>
      <c r="AE1108" s="5"/>
      <c r="AF1108" s="5"/>
      <c r="AG1108" s="5"/>
      <c r="AH1108" s="5"/>
      <c r="AI1108" s="5"/>
      <c r="AJ1108" s="5"/>
      <c r="AK1108" s="5"/>
      <c r="AL1108" s="5"/>
      <c r="AM1108" s="5"/>
      <c r="AN1108" s="5"/>
    </row>
    <row r="1109" spans="1:40" x14ac:dyDescent="0.35">
      <c r="A1109" s="5"/>
      <c r="B1109" s="1"/>
      <c r="C1109" s="1"/>
      <c r="D1109" s="1"/>
      <c r="E1109" s="50"/>
      <c r="F1109" s="50"/>
      <c r="G1109" s="50"/>
      <c r="H1109" s="50"/>
      <c r="I1109" s="50"/>
      <c r="J1109" s="50"/>
      <c r="K1109" s="50"/>
      <c r="L1109" s="50"/>
      <c r="M1109" s="50"/>
      <c r="N1109" s="50"/>
      <c r="O1109" s="50"/>
      <c r="P1109" s="50"/>
      <c r="Q1109" s="50"/>
      <c r="R1109" s="50"/>
      <c r="S1109" s="50"/>
      <c r="T1109" s="17"/>
      <c r="U1109" s="5"/>
      <c r="V1109" s="5"/>
      <c r="W1109" s="5"/>
      <c r="X1109" s="5"/>
      <c r="Y1109" s="5"/>
      <c r="Z1109" s="5"/>
      <c r="AA1109" s="5"/>
      <c r="AB1109" s="5"/>
      <c r="AC1109" s="5"/>
      <c r="AD1109" s="5"/>
      <c r="AE1109" s="5"/>
      <c r="AF1109" s="5"/>
      <c r="AG1109" s="5"/>
      <c r="AH1109" s="5"/>
      <c r="AI1109" s="5"/>
      <c r="AJ1109" s="5"/>
      <c r="AK1109" s="5"/>
      <c r="AL1109" s="5"/>
      <c r="AM1109" s="5"/>
      <c r="AN1109" s="5"/>
    </row>
    <row r="1110" spans="1:40" x14ac:dyDescent="0.35">
      <c r="A1110" s="5"/>
      <c r="B1110" s="1"/>
      <c r="C1110" s="1"/>
      <c r="D1110" s="1"/>
      <c r="E1110" s="50"/>
      <c r="F1110" s="50"/>
      <c r="G1110" s="50"/>
      <c r="H1110" s="50"/>
      <c r="I1110" s="50"/>
      <c r="J1110" s="50"/>
      <c r="K1110" s="50"/>
      <c r="L1110" s="50"/>
      <c r="M1110" s="50"/>
      <c r="N1110" s="50"/>
      <c r="O1110" s="50"/>
      <c r="P1110" s="50"/>
      <c r="Q1110" s="50"/>
      <c r="R1110" s="50"/>
      <c r="S1110" s="50"/>
      <c r="T1110" s="17"/>
      <c r="U1110" s="5"/>
      <c r="V1110" s="5"/>
      <c r="W1110" s="5"/>
      <c r="X1110" s="5"/>
      <c r="Y1110" s="5"/>
      <c r="Z1110" s="5"/>
      <c r="AA1110" s="5"/>
      <c r="AB1110" s="5"/>
      <c r="AC1110" s="5"/>
      <c r="AD1110" s="5"/>
      <c r="AE1110" s="5"/>
      <c r="AF1110" s="5"/>
      <c r="AG1110" s="5"/>
      <c r="AH1110" s="5"/>
      <c r="AI1110" s="5"/>
      <c r="AJ1110" s="5"/>
      <c r="AK1110" s="5"/>
      <c r="AL1110" s="5"/>
      <c r="AM1110" s="5"/>
      <c r="AN1110" s="5"/>
    </row>
    <row r="1111" spans="1:40" x14ac:dyDescent="0.35">
      <c r="A1111" s="5"/>
      <c r="B1111" s="1"/>
      <c r="C1111" s="1"/>
      <c r="D1111" s="1"/>
      <c r="E1111" s="50"/>
      <c r="F1111" s="50"/>
      <c r="G1111" s="50"/>
      <c r="H1111" s="50"/>
      <c r="I1111" s="50"/>
      <c r="J1111" s="50"/>
      <c r="K1111" s="50"/>
      <c r="L1111" s="50"/>
      <c r="M1111" s="50"/>
      <c r="N1111" s="50"/>
      <c r="O1111" s="50"/>
      <c r="P1111" s="50"/>
      <c r="Q1111" s="50"/>
      <c r="R1111" s="50"/>
      <c r="S1111" s="50"/>
      <c r="T1111" s="17"/>
      <c r="U1111" s="5"/>
      <c r="V1111" s="5"/>
      <c r="W1111" s="5"/>
      <c r="X1111" s="5"/>
      <c r="Y1111" s="5"/>
      <c r="Z1111" s="5"/>
      <c r="AA1111" s="5"/>
      <c r="AB1111" s="5"/>
      <c r="AC1111" s="5"/>
      <c r="AD1111" s="5"/>
      <c r="AE1111" s="5"/>
      <c r="AF1111" s="5"/>
      <c r="AG1111" s="5"/>
      <c r="AH1111" s="5"/>
      <c r="AI1111" s="5"/>
      <c r="AJ1111" s="5"/>
      <c r="AK1111" s="5"/>
      <c r="AL1111" s="5"/>
      <c r="AM1111" s="5"/>
      <c r="AN1111" s="5"/>
    </row>
    <row r="1112" spans="1:40" x14ac:dyDescent="0.35">
      <c r="A1112" s="5"/>
      <c r="B1112" s="1"/>
      <c r="C1112" s="1"/>
      <c r="D1112" s="1"/>
      <c r="E1112" s="50"/>
      <c r="F1112" s="50"/>
      <c r="G1112" s="50"/>
      <c r="H1112" s="50"/>
      <c r="I1112" s="50"/>
      <c r="J1112" s="50"/>
      <c r="K1112" s="50"/>
      <c r="L1112" s="50"/>
      <c r="M1112" s="50"/>
      <c r="N1112" s="50"/>
      <c r="O1112" s="50"/>
      <c r="P1112" s="50"/>
      <c r="Q1112" s="50"/>
      <c r="R1112" s="50"/>
      <c r="S1112" s="50"/>
      <c r="T1112" s="17"/>
      <c r="U1112" s="5"/>
      <c r="V1112" s="5"/>
      <c r="W1112" s="5"/>
      <c r="X1112" s="5"/>
      <c r="Y1112" s="5"/>
      <c r="Z1112" s="5"/>
      <c r="AA1112" s="5"/>
      <c r="AB1112" s="5"/>
      <c r="AC1112" s="5"/>
      <c r="AD1112" s="5"/>
      <c r="AE1112" s="5"/>
      <c r="AF1112" s="5"/>
      <c r="AG1112" s="5"/>
      <c r="AH1112" s="5"/>
      <c r="AI1112" s="5"/>
      <c r="AJ1112" s="5"/>
      <c r="AK1112" s="5"/>
      <c r="AL1112" s="5"/>
      <c r="AM1112" s="5"/>
      <c r="AN1112" s="5"/>
    </row>
    <row r="1113" spans="1:40" x14ac:dyDescent="0.35">
      <c r="A1113" s="5"/>
      <c r="B1113" s="1"/>
      <c r="C1113" s="1"/>
      <c r="D1113" s="1"/>
      <c r="E1113" s="50"/>
      <c r="F1113" s="50"/>
      <c r="G1113" s="50"/>
      <c r="H1113" s="50"/>
      <c r="I1113" s="50"/>
      <c r="J1113" s="50"/>
      <c r="K1113" s="50"/>
      <c r="L1113" s="50"/>
      <c r="M1113" s="50"/>
      <c r="N1113" s="50"/>
      <c r="O1113" s="50"/>
      <c r="P1113" s="50"/>
      <c r="Q1113" s="50"/>
      <c r="R1113" s="50"/>
      <c r="S1113" s="50"/>
      <c r="T1113" s="17"/>
      <c r="U1113" s="5"/>
      <c r="V1113" s="5"/>
      <c r="W1113" s="5"/>
      <c r="X1113" s="5"/>
      <c r="Y1113" s="5"/>
      <c r="Z1113" s="5"/>
      <c r="AA1113" s="5"/>
      <c r="AB1113" s="5"/>
      <c r="AC1113" s="5"/>
      <c r="AD1113" s="5"/>
      <c r="AE1113" s="5"/>
      <c r="AF1113" s="5"/>
      <c r="AG1113" s="5"/>
      <c r="AH1113" s="5"/>
      <c r="AI1113" s="5"/>
      <c r="AJ1113" s="5"/>
      <c r="AK1113" s="5"/>
      <c r="AL1113" s="5"/>
      <c r="AM1113" s="5"/>
      <c r="AN1113" s="5"/>
    </row>
    <row r="1114" spans="1:40" x14ac:dyDescent="0.35">
      <c r="A1114" s="5"/>
      <c r="B1114" s="1"/>
      <c r="C1114" s="1"/>
      <c r="D1114" s="1"/>
      <c r="E1114" s="50"/>
      <c r="F1114" s="50"/>
      <c r="G1114" s="50"/>
      <c r="H1114" s="50"/>
      <c r="I1114" s="50"/>
      <c r="J1114" s="50"/>
      <c r="K1114" s="50"/>
      <c r="L1114" s="50"/>
      <c r="M1114" s="50"/>
      <c r="N1114" s="50"/>
      <c r="O1114" s="50"/>
      <c r="P1114" s="50"/>
      <c r="Q1114" s="50"/>
      <c r="R1114" s="50"/>
      <c r="S1114" s="50"/>
      <c r="T1114" s="17"/>
      <c r="U1114" s="5"/>
      <c r="V1114" s="5"/>
      <c r="W1114" s="5"/>
      <c r="X1114" s="5"/>
      <c r="Y1114" s="5"/>
      <c r="Z1114" s="5"/>
      <c r="AA1114" s="5"/>
      <c r="AB1114" s="5"/>
      <c r="AC1114" s="5"/>
      <c r="AD1114" s="5"/>
      <c r="AE1114" s="5"/>
      <c r="AF1114" s="5"/>
      <c r="AG1114" s="5"/>
      <c r="AH1114" s="5"/>
      <c r="AI1114" s="5"/>
      <c r="AJ1114" s="5"/>
      <c r="AK1114" s="5"/>
      <c r="AL1114" s="5"/>
      <c r="AM1114" s="5"/>
      <c r="AN1114" s="5"/>
    </row>
    <row r="1115" spans="1:40" x14ac:dyDescent="0.35">
      <c r="A1115" s="5"/>
      <c r="B1115" s="1"/>
      <c r="C1115" s="1"/>
      <c r="D1115" s="1"/>
      <c r="E1115" s="50"/>
      <c r="F1115" s="50"/>
      <c r="G1115" s="50"/>
      <c r="H1115" s="50"/>
      <c r="I1115" s="50"/>
      <c r="J1115" s="50"/>
      <c r="K1115" s="50"/>
      <c r="L1115" s="50"/>
      <c r="M1115" s="50"/>
      <c r="N1115" s="50"/>
      <c r="O1115" s="50"/>
      <c r="P1115" s="50"/>
      <c r="Q1115" s="50"/>
      <c r="R1115" s="50"/>
      <c r="S1115" s="50"/>
      <c r="T1115" s="17"/>
      <c r="U1115" s="5"/>
      <c r="V1115" s="5"/>
      <c r="W1115" s="5"/>
      <c r="X1115" s="5"/>
      <c r="Y1115" s="5"/>
      <c r="Z1115" s="5"/>
      <c r="AA1115" s="5"/>
      <c r="AB1115" s="5"/>
      <c r="AC1115" s="5"/>
      <c r="AD1115" s="5"/>
      <c r="AE1115" s="5"/>
      <c r="AF1115" s="5"/>
      <c r="AG1115" s="5"/>
      <c r="AH1115" s="5"/>
      <c r="AI1115" s="5"/>
      <c r="AJ1115" s="5"/>
      <c r="AK1115" s="5"/>
      <c r="AL1115" s="5"/>
      <c r="AM1115" s="5"/>
      <c r="AN1115" s="5"/>
    </row>
    <row r="1116" spans="1:40" x14ac:dyDescent="0.35">
      <c r="A1116" s="5"/>
      <c r="B1116" s="1"/>
      <c r="C1116" s="1"/>
      <c r="D1116" s="1"/>
      <c r="E1116" s="50"/>
      <c r="F1116" s="50"/>
      <c r="G1116" s="50"/>
      <c r="H1116" s="50"/>
      <c r="I1116" s="50"/>
      <c r="J1116" s="50"/>
      <c r="K1116" s="50"/>
      <c r="L1116" s="50"/>
      <c r="M1116" s="50"/>
      <c r="N1116" s="50"/>
      <c r="O1116" s="50"/>
      <c r="P1116" s="50"/>
      <c r="Q1116" s="50"/>
      <c r="R1116" s="50"/>
      <c r="S1116" s="50"/>
      <c r="T1116" s="17"/>
      <c r="U1116" s="5"/>
      <c r="V1116" s="5"/>
      <c r="W1116" s="5"/>
      <c r="X1116" s="5"/>
      <c r="Y1116" s="5"/>
      <c r="Z1116" s="5"/>
      <c r="AA1116" s="5"/>
      <c r="AB1116" s="5"/>
      <c r="AC1116" s="5"/>
      <c r="AD1116" s="5"/>
      <c r="AE1116" s="5"/>
      <c r="AF1116" s="5"/>
      <c r="AG1116" s="5"/>
      <c r="AH1116" s="5"/>
      <c r="AI1116" s="5"/>
      <c r="AJ1116" s="5"/>
      <c r="AK1116" s="5"/>
      <c r="AL1116" s="5"/>
      <c r="AM1116" s="5"/>
      <c r="AN1116" s="5"/>
    </row>
    <row r="1117" spans="1:40" x14ac:dyDescent="0.35">
      <c r="A1117" s="5"/>
      <c r="B1117" s="1"/>
      <c r="C1117" s="1"/>
      <c r="D1117" s="1"/>
      <c r="E1117" s="50"/>
      <c r="F1117" s="50"/>
      <c r="G1117" s="50"/>
      <c r="H1117" s="50"/>
      <c r="I1117" s="50"/>
      <c r="J1117" s="50"/>
      <c r="K1117" s="50"/>
      <c r="L1117" s="50"/>
      <c r="M1117" s="50"/>
      <c r="N1117" s="50"/>
      <c r="O1117" s="50"/>
      <c r="P1117" s="50"/>
      <c r="Q1117" s="50"/>
      <c r="R1117" s="50"/>
      <c r="S1117" s="50"/>
      <c r="T1117" s="17"/>
      <c r="U1117" s="5"/>
      <c r="V1117" s="5"/>
      <c r="W1117" s="5"/>
      <c r="X1117" s="5"/>
      <c r="Y1117" s="5"/>
      <c r="Z1117" s="5"/>
      <c r="AA1117" s="5"/>
      <c r="AB1117" s="5"/>
      <c r="AC1117" s="5"/>
      <c r="AD1117" s="5"/>
      <c r="AE1117" s="5"/>
      <c r="AF1117" s="5"/>
      <c r="AG1117" s="5"/>
      <c r="AH1117" s="5"/>
      <c r="AI1117" s="5"/>
      <c r="AJ1117" s="5"/>
      <c r="AK1117" s="5"/>
      <c r="AL1117" s="5"/>
      <c r="AM1117" s="5"/>
      <c r="AN1117" s="5"/>
    </row>
    <row r="1118" spans="1:40" x14ac:dyDescent="0.35">
      <c r="A1118" s="5"/>
      <c r="B1118" s="1"/>
      <c r="C1118" s="1"/>
      <c r="D1118" s="1"/>
      <c r="E1118" s="50"/>
      <c r="F1118" s="50"/>
      <c r="G1118" s="50"/>
      <c r="H1118" s="50"/>
      <c r="I1118" s="50"/>
      <c r="J1118" s="50"/>
      <c r="K1118" s="50"/>
      <c r="L1118" s="50"/>
      <c r="M1118" s="50"/>
      <c r="N1118" s="50"/>
      <c r="O1118" s="50"/>
      <c r="P1118" s="50"/>
      <c r="Q1118" s="50"/>
      <c r="R1118" s="50"/>
      <c r="S1118" s="50"/>
      <c r="T1118" s="17"/>
      <c r="U1118" s="5"/>
      <c r="V1118" s="5"/>
      <c r="W1118" s="5"/>
      <c r="X1118" s="5"/>
      <c r="Y1118" s="5"/>
      <c r="Z1118" s="5"/>
      <c r="AA1118" s="5"/>
      <c r="AB1118" s="5"/>
      <c r="AC1118" s="5"/>
      <c r="AD1118" s="5"/>
      <c r="AE1118" s="5"/>
      <c r="AF1118" s="5"/>
      <c r="AG1118" s="5"/>
      <c r="AH1118" s="5"/>
      <c r="AI1118" s="5"/>
      <c r="AJ1118" s="5"/>
      <c r="AK1118" s="5"/>
      <c r="AL1118" s="5"/>
      <c r="AM1118" s="5"/>
      <c r="AN1118" s="5"/>
    </row>
    <row r="1119" spans="1:40" x14ac:dyDescent="0.35">
      <c r="A1119" s="5"/>
      <c r="B1119" s="1"/>
      <c r="C1119" s="1"/>
      <c r="D1119" s="1"/>
      <c r="E1119" s="50"/>
      <c r="F1119" s="50"/>
      <c r="G1119" s="50"/>
      <c r="H1119" s="50"/>
      <c r="I1119" s="50"/>
      <c r="J1119" s="50"/>
      <c r="K1119" s="50"/>
      <c r="L1119" s="50"/>
      <c r="M1119" s="50"/>
      <c r="N1119" s="50"/>
      <c r="O1119" s="50"/>
      <c r="P1119" s="50"/>
      <c r="Q1119" s="50"/>
      <c r="R1119" s="50"/>
      <c r="S1119" s="50"/>
      <c r="T1119" s="17"/>
      <c r="U1119" s="5"/>
      <c r="V1119" s="5"/>
      <c r="W1119" s="5"/>
      <c r="X1119" s="5"/>
      <c r="Y1119" s="5"/>
      <c r="Z1119" s="5"/>
      <c r="AA1119" s="5"/>
      <c r="AB1119" s="5"/>
      <c r="AC1119" s="5"/>
      <c r="AD1119" s="5"/>
      <c r="AE1119" s="5"/>
      <c r="AF1119" s="5"/>
      <c r="AG1119" s="5"/>
      <c r="AH1119" s="5"/>
      <c r="AI1119" s="5"/>
      <c r="AJ1119" s="5"/>
      <c r="AK1119" s="5"/>
      <c r="AL1119" s="5"/>
      <c r="AM1119" s="5"/>
      <c r="AN1119" s="5"/>
    </row>
    <row r="1120" spans="1:40" x14ac:dyDescent="0.35">
      <c r="A1120" s="5"/>
      <c r="B1120" s="1"/>
      <c r="C1120" s="1"/>
      <c r="D1120" s="1"/>
      <c r="E1120" s="50"/>
      <c r="F1120" s="50"/>
      <c r="G1120" s="50"/>
      <c r="H1120" s="50"/>
      <c r="I1120" s="50"/>
      <c r="J1120" s="50"/>
      <c r="K1120" s="50"/>
      <c r="L1120" s="50"/>
      <c r="M1120" s="50"/>
      <c r="N1120" s="50"/>
      <c r="O1120" s="50"/>
      <c r="P1120" s="50"/>
      <c r="Q1120" s="50"/>
      <c r="R1120" s="50"/>
      <c r="S1120" s="50"/>
      <c r="T1120" s="17"/>
      <c r="U1120" s="5"/>
      <c r="V1120" s="5"/>
      <c r="W1120" s="5"/>
      <c r="X1120" s="5"/>
      <c r="Y1120" s="5"/>
      <c r="Z1120" s="5"/>
      <c r="AA1120" s="5"/>
      <c r="AB1120" s="5"/>
      <c r="AC1120" s="5"/>
      <c r="AD1120" s="5"/>
      <c r="AE1120" s="5"/>
      <c r="AF1120" s="5"/>
      <c r="AG1120" s="5"/>
      <c r="AH1120" s="5"/>
      <c r="AI1120" s="5"/>
      <c r="AJ1120" s="5"/>
      <c r="AK1120" s="5"/>
      <c r="AL1120" s="5"/>
      <c r="AM1120" s="5"/>
      <c r="AN1120" s="5"/>
    </row>
    <row r="1121" spans="1:40" x14ac:dyDescent="0.35">
      <c r="A1121" s="5"/>
      <c r="B1121" s="1"/>
      <c r="C1121" s="1"/>
      <c r="D1121" s="1"/>
      <c r="E1121" s="50"/>
      <c r="F1121" s="50"/>
      <c r="G1121" s="50"/>
      <c r="H1121" s="50"/>
      <c r="I1121" s="50"/>
      <c r="J1121" s="50"/>
      <c r="K1121" s="50"/>
      <c r="L1121" s="50"/>
      <c r="M1121" s="50"/>
      <c r="N1121" s="50"/>
      <c r="O1121" s="50"/>
      <c r="P1121" s="50"/>
      <c r="Q1121" s="50"/>
      <c r="R1121" s="50"/>
      <c r="S1121" s="50"/>
      <c r="T1121" s="17"/>
      <c r="U1121" s="5"/>
      <c r="V1121" s="5"/>
      <c r="W1121" s="5"/>
      <c r="X1121" s="5"/>
      <c r="Y1121" s="5"/>
      <c r="Z1121" s="5"/>
      <c r="AA1121" s="5"/>
      <c r="AB1121" s="5"/>
      <c r="AC1121" s="5"/>
      <c r="AD1121" s="5"/>
      <c r="AE1121" s="5"/>
      <c r="AF1121" s="5"/>
      <c r="AG1121" s="5"/>
      <c r="AH1121" s="5"/>
      <c r="AI1121" s="5"/>
      <c r="AJ1121" s="5"/>
      <c r="AK1121" s="5"/>
      <c r="AL1121" s="5"/>
      <c r="AM1121" s="5"/>
      <c r="AN1121" s="5"/>
    </row>
    <row r="1122" spans="1:40" x14ac:dyDescent="0.35">
      <c r="A1122" s="5"/>
      <c r="B1122" s="1"/>
      <c r="C1122" s="1"/>
      <c r="D1122" s="1"/>
      <c r="E1122" s="50"/>
      <c r="F1122" s="50"/>
      <c r="G1122" s="50"/>
      <c r="H1122" s="50"/>
      <c r="I1122" s="50"/>
      <c r="J1122" s="50"/>
      <c r="K1122" s="50"/>
      <c r="L1122" s="50"/>
      <c r="M1122" s="50"/>
      <c r="N1122" s="50"/>
      <c r="O1122" s="50"/>
      <c r="P1122" s="50"/>
      <c r="Q1122" s="50"/>
      <c r="R1122" s="50"/>
      <c r="S1122" s="50"/>
      <c r="T1122" s="17"/>
      <c r="U1122" s="5"/>
      <c r="V1122" s="5"/>
      <c r="W1122" s="5"/>
      <c r="X1122" s="5"/>
      <c r="Y1122" s="5"/>
      <c r="Z1122" s="5"/>
      <c r="AA1122" s="5"/>
      <c r="AB1122" s="5"/>
      <c r="AC1122" s="5"/>
      <c r="AD1122" s="5"/>
      <c r="AE1122" s="5"/>
      <c r="AF1122" s="5"/>
      <c r="AG1122" s="5"/>
      <c r="AH1122" s="5"/>
      <c r="AI1122" s="5"/>
      <c r="AJ1122" s="5"/>
      <c r="AK1122" s="5"/>
      <c r="AL1122" s="5"/>
      <c r="AM1122" s="5"/>
      <c r="AN1122" s="5"/>
    </row>
    <row r="1123" spans="1:40" x14ac:dyDescent="0.35">
      <c r="A1123" s="5"/>
      <c r="B1123" s="1"/>
      <c r="C1123" s="1"/>
      <c r="D1123" s="1"/>
      <c r="E1123" s="50"/>
      <c r="F1123" s="50"/>
      <c r="G1123" s="50"/>
      <c r="H1123" s="50"/>
      <c r="I1123" s="50"/>
      <c r="J1123" s="50"/>
      <c r="K1123" s="50"/>
      <c r="L1123" s="50"/>
      <c r="M1123" s="50"/>
      <c r="N1123" s="50"/>
      <c r="O1123" s="50"/>
      <c r="P1123" s="50"/>
      <c r="Q1123" s="50"/>
      <c r="R1123" s="50"/>
      <c r="S1123" s="50"/>
      <c r="T1123" s="17"/>
      <c r="U1123" s="5"/>
      <c r="V1123" s="5"/>
      <c r="W1123" s="5"/>
      <c r="X1123" s="5"/>
      <c r="Y1123" s="5"/>
      <c r="Z1123" s="5"/>
      <c r="AA1123" s="5"/>
      <c r="AB1123" s="5"/>
      <c r="AC1123" s="5"/>
      <c r="AD1123" s="5"/>
      <c r="AE1123" s="5"/>
      <c r="AF1123" s="5"/>
      <c r="AG1123" s="5"/>
      <c r="AH1123" s="5"/>
      <c r="AI1123" s="5"/>
      <c r="AJ1123" s="5"/>
      <c r="AK1123" s="5"/>
      <c r="AL1123" s="5"/>
      <c r="AM1123" s="5"/>
      <c r="AN1123" s="5"/>
    </row>
    <row r="1124" spans="1:40" x14ac:dyDescent="0.35">
      <c r="A1124" s="5"/>
      <c r="B1124" s="1"/>
      <c r="C1124" s="1"/>
      <c r="D1124" s="1"/>
      <c r="E1124" s="50"/>
      <c r="F1124" s="50"/>
      <c r="G1124" s="50"/>
      <c r="H1124" s="50"/>
      <c r="I1124" s="50"/>
      <c r="J1124" s="50"/>
      <c r="K1124" s="50"/>
      <c r="L1124" s="50"/>
      <c r="M1124" s="50"/>
      <c r="N1124" s="50"/>
      <c r="O1124" s="50"/>
      <c r="P1124" s="50"/>
      <c r="Q1124" s="50"/>
      <c r="R1124" s="50"/>
      <c r="S1124" s="50"/>
      <c r="T1124" s="17"/>
      <c r="U1124" s="5"/>
      <c r="V1124" s="5"/>
      <c r="W1124" s="5"/>
      <c r="X1124" s="5"/>
      <c r="Y1124" s="5"/>
      <c r="Z1124" s="5"/>
      <c r="AA1124" s="5"/>
      <c r="AB1124" s="5"/>
      <c r="AC1124" s="5"/>
      <c r="AD1124" s="5"/>
      <c r="AE1124" s="5"/>
      <c r="AF1124" s="5"/>
      <c r="AG1124" s="5"/>
      <c r="AH1124" s="5"/>
      <c r="AI1124" s="5"/>
      <c r="AJ1124" s="5"/>
      <c r="AK1124" s="5"/>
      <c r="AL1124" s="5"/>
      <c r="AM1124" s="5"/>
      <c r="AN1124" s="5"/>
    </row>
    <row r="1125" spans="1:40" x14ac:dyDescent="0.35">
      <c r="A1125" s="5"/>
      <c r="B1125" s="1"/>
      <c r="C1125" s="1"/>
      <c r="D1125" s="1"/>
      <c r="E1125" s="50"/>
      <c r="F1125" s="50"/>
      <c r="G1125" s="50"/>
      <c r="H1125" s="50"/>
      <c r="I1125" s="50"/>
      <c r="J1125" s="50"/>
      <c r="K1125" s="50"/>
      <c r="L1125" s="50"/>
      <c r="M1125" s="50"/>
      <c r="N1125" s="50"/>
      <c r="O1125" s="50"/>
      <c r="P1125" s="50"/>
      <c r="Q1125" s="50"/>
      <c r="R1125" s="50"/>
      <c r="S1125" s="50"/>
      <c r="T1125" s="17"/>
      <c r="U1125" s="5"/>
      <c r="V1125" s="5"/>
      <c r="W1125" s="5"/>
      <c r="X1125" s="5"/>
      <c r="Y1125" s="5"/>
      <c r="Z1125" s="5"/>
      <c r="AA1125" s="5"/>
      <c r="AB1125" s="5"/>
      <c r="AC1125" s="5"/>
      <c r="AD1125" s="5"/>
      <c r="AE1125" s="5"/>
      <c r="AF1125" s="5"/>
      <c r="AG1125" s="5"/>
      <c r="AH1125" s="5"/>
      <c r="AI1125" s="5"/>
      <c r="AJ1125" s="5"/>
      <c r="AK1125" s="5"/>
      <c r="AL1125" s="5"/>
      <c r="AM1125" s="5"/>
      <c r="AN1125" s="5"/>
    </row>
    <row r="1126" spans="1:40" x14ac:dyDescent="0.35">
      <c r="A1126" s="5"/>
      <c r="B1126" s="1"/>
      <c r="C1126" s="1"/>
      <c r="D1126" s="1"/>
      <c r="E1126" s="50"/>
      <c r="F1126" s="50"/>
      <c r="G1126" s="50"/>
      <c r="H1126" s="50"/>
      <c r="I1126" s="50"/>
      <c r="J1126" s="50"/>
      <c r="K1126" s="50"/>
      <c r="L1126" s="50"/>
      <c r="M1126" s="50"/>
      <c r="N1126" s="50"/>
      <c r="O1126" s="50"/>
      <c r="P1126" s="50"/>
      <c r="Q1126" s="50"/>
      <c r="R1126" s="50"/>
      <c r="S1126" s="50"/>
      <c r="T1126" s="17"/>
      <c r="U1126" s="5"/>
      <c r="V1126" s="5"/>
      <c r="W1126" s="5"/>
      <c r="X1126" s="5"/>
      <c r="Y1126" s="5"/>
      <c r="Z1126" s="5"/>
      <c r="AA1126" s="5"/>
      <c r="AB1126" s="5"/>
      <c r="AC1126" s="5"/>
      <c r="AD1126" s="5"/>
      <c r="AE1126" s="5"/>
      <c r="AF1126" s="5"/>
      <c r="AG1126" s="5"/>
      <c r="AH1126" s="5"/>
      <c r="AI1126" s="5"/>
      <c r="AJ1126" s="5"/>
      <c r="AK1126" s="5"/>
      <c r="AL1126" s="5"/>
      <c r="AM1126" s="5"/>
      <c r="AN1126" s="5"/>
    </row>
    <row r="1127" spans="1:40" x14ac:dyDescent="0.35">
      <c r="A1127" s="5"/>
      <c r="B1127" s="1"/>
      <c r="C1127" s="1"/>
      <c r="D1127" s="1"/>
      <c r="E1127" s="50"/>
      <c r="F1127" s="50"/>
      <c r="G1127" s="50"/>
      <c r="H1127" s="50"/>
      <c r="I1127" s="50"/>
      <c r="J1127" s="50"/>
      <c r="K1127" s="50"/>
      <c r="L1127" s="50"/>
      <c r="M1127" s="50"/>
      <c r="N1127" s="50"/>
      <c r="O1127" s="50"/>
      <c r="P1127" s="50"/>
      <c r="Q1127" s="50"/>
      <c r="R1127" s="50"/>
      <c r="S1127" s="50"/>
      <c r="T1127" s="17"/>
      <c r="U1127" s="5"/>
      <c r="V1127" s="5"/>
      <c r="W1127" s="5"/>
      <c r="X1127" s="5"/>
      <c r="Y1127" s="5"/>
      <c r="Z1127" s="5"/>
      <c r="AA1127" s="5"/>
      <c r="AB1127" s="5"/>
      <c r="AC1127" s="5"/>
      <c r="AD1127" s="5"/>
      <c r="AE1127" s="5"/>
      <c r="AF1127" s="5"/>
      <c r="AG1127" s="5"/>
      <c r="AH1127" s="5"/>
      <c r="AI1127" s="5"/>
      <c r="AJ1127" s="5"/>
      <c r="AK1127" s="5"/>
      <c r="AL1127" s="5"/>
      <c r="AM1127" s="5"/>
      <c r="AN1127" s="5"/>
    </row>
    <row r="1128" spans="1:40" x14ac:dyDescent="0.35">
      <c r="A1128" s="5"/>
      <c r="B1128" s="1"/>
      <c r="C1128" s="1"/>
      <c r="D1128" s="1"/>
      <c r="E1128" s="50"/>
      <c r="F1128" s="50"/>
      <c r="G1128" s="50"/>
      <c r="H1128" s="50"/>
      <c r="I1128" s="50"/>
      <c r="J1128" s="50"/>
      <c r="K1128" s="50"/>
      <c r="L1128" s="50"/>
      <c r="M1128" s="50"/>
      <c r="N1128" s="50"/>
      <c r="O1128" s="50"/>
      <c r="P1128" s="50"/>
      <c r="Q1128" s="50"/>
      <c r="R1128" s="50"/>
      <c r="S1128" s="50"/>
      <c r="T1128" s="17"/>
      <c r="U1128" s="5"/>
      <c r="V1128" s="5"/>
      <c r="W1128" s="5"/>
      <c r="X1128" s="5"/>
      <c r="Y1128" s="5"/>
      <c r="Z1128" s="5"/>
      <c r="AA1128" s="5"/>
      <c r="AB1128" s="5"/>
      <c r="AC1128" s="5"/>
      <c r="AD1128" s="5"/>
      <c r="AE1128" s="5"/>
      <c r="AF1128" s="5"/>
      <c r="AG1128" s="5"/>
      <c r="AH1128" s="5"/>
      <c r="AI1128" s="5"/>
      <c r="AJ1128" s="5"/>
      <c r="AK1128" s="5"/>
      <c r="AL1128" s="5"/>
      <c r="AM1128" s="5"/>
      <c r="AN1128" s="5"/>
    </row>
    <row r="1129" spans="1:40" x14ac:dyDescent="0.35">
      <c r="A1129" s="5"/>
      <c r="B1129" s="1"/>
      <c r="C1129" s="1"/>
      <c r="D1129" s="1"/>
      <c r="E1129" s="50"/>
      <c r="F1129" s="50"/>
      <c r="G1129" s="50"/>
      <c r="H1129" s="50"/>
      <c r="I1129" s="50"/>
      <c r="J1129" s="50"/>
      <c r="K1129" s="50"/>
      <c r="L1129" s="50"/>
      <c r="M1129" s="50"/>
      <c r="N1129" s="50"/>
      <c r="O1129" s="50"/>
      <c r="P1129" s="50"/>
      <c r="Q1129" s="50"/>
      <c r="R1129" s="50"/>
      <c r="S1129" s="50"/>
      <c r="T1129" s="17"/>
      <c r="U1129" s="5"/>
      <c r="V1129" s="5"/>
      <c r="W1129" s="5"/>
      <c r="X1129" s="5"/>
      <c r="Y1129" s="5"/>
      <c r="Z1129" s="5"/>
      <c r="AA1129" s="5"/>
      <c r="AB1129" s="5"/>
      <c r="AC1129" s="5"/>
      <c r="AD1129" s="5"/>
      <c r="AE1129" s="5"/>
      <c r="AF1129" s="5"/>
      <c r="AG1129" s="5"/>
      <c r="AH1129" s="5"/>
      <c r="AI1129" s="5"/>
      <c r="AJ1129" s="5"/>
      <c r="AK1129" s="5"/>
      <c r="AL1129" s="5"/>
      <c r="AM1129" s="5"/>
      <c r="AN1129" s="5"/>
    </row>
    <row r="1130" spans="1:40" x14ac:dyDescent="0.35">
      <c r="A1130" s="5"/>
      <c r="B1130" s="1"/>
      <c r="C1130" s="1"/>
      <c r="D1130" s="1"/>
      <c r="E1130" s="50"/>
      <c r="F1130" s="50"/>
      <c r="G1130" s="50"/>
      <c r="H1130" s="50"/>
      <c r="I1130" s="50"/>
      <c r="J1130" s="50"/>
      <c r="K1130" s="50"/>
      <c r="L1130" s="50"/>
      <c r="M1130" s="50"/>
      <c r="N1130" s="50"/>
      <c r="O1130" s="50"/>
      <c r="P1130" s="50"/>
      <c r="Q1130" s="50"/>
      <c r="R1130" s="50"/>
      <c r="S1130" s="50"/>
      <c r="T1130" s="17"/>
      <c r="U1130" s="5"/>
      <c r="V1130" s="5"/>
      <c r="W1130" s="5"/>
      <c r="X1130" s="5"/>
      <c r="Y1130" s="5"/>
      <c r="Z1130" s="5"/>
      <c r="AA1130" s="5"/>
      <c r="AB1130" s="5"/>
      <c r="AC1130" s="5"/>
      <c r="AD1130" s="5"/>
      <c r="AE1130" s="5"/>
      <c r="AF1130" s="5"/>
      <c r="AG1130" s="5"/>
      <c r="AH1130" s="5"/>
      <c r="AI1130" s="5"/>
      <c r="AJ1130" s="5"/>
      <c r="AK1130" s="5"/>
      <c r="AL1130" s="5"/>
      <c r="AM1130" s="5"/>
      <c r="AN1130" s="5"/>
    </row>
    <row r="1131" spans="1:40" x14ac:dyDescent="0.35">
      <c r="A1131" s="5"/>
      <c r="B1131" s="1"/>
      <c r="C1131" s="1"/>
      <c r="D1131" s="1"/>
      <c r="E1131" s="50"/>
      <c r="F1131" s="50"/>
      <c r="G1131" s="50"/>
      <c r="H1131" s="50"/>
      <c r="I1131" s="50"/>
      <c r="J1131" s="50"/>
      <c r="K1131" s="50"/>
      <c r="L1131" s="50"/>
      <c r="M1131" s="50"/>
      <c r="N1131" s="50"/>
      <c r="O1131" s="50"/>
      <c r="P1131" s="50"/>
      <c r="Q1131" s="50"/>
      <c r="R1131" s="50"/>
      <c r="S1131" s="50"/>
      <c r="T1131" s="17"/>
      <c r="U1131" s="5"/>
      <c r="V1131" s="5"/>
      <c r="W1131" s="5"/>
      <c r="X1131" s="5"/>
      <c r="Y1131" s="5"/>
      <c r="Z1131" s="5"/>
      <c r="AA1131" s="5"/>
      <c r="AB1131" s="5"/>
      <c r="AC1131" s="5"/>
      <c r="AD1131" s="5"/>
      <c r="AE1131" s="5"/>
      <c r="AF1131" s="5"/>
      <c r="AG1131" s="5"/>
      <c r="AH1131" s="5"/>
      <c r="AI1131" s="5"/>
      <c r="AJ1131" s="5"/>
      <c r="AK1131" s="5"/>
      <c r="AL1131" s="5"/>
      <c r="AM1131" s="5"/>
      <c r="AN1131" s="5"/>
    </row>
    <row r="1132" spans="1:40" x14ac:dyDescent="0.35">
      <c r="A1132" s="5"/>
      <c r="B1132" s="1"/>
      <c r="C1132" s="1"/>
      <c r="D1132" s="1"/>
      <c r="E1132" s="50"/>
      <c r="F1132" s="50"/>
      <c r="G1132" s="50"/>
      <c r="H1132" s="50"/>
      <c r="I1132" s="50"/>
      <c r="J1132" s="50"/>
      <c r="K1132" s="50"/>
      <c r="L1132" s="50"/>
      <c r="M1132" s="50"/>
      <c r="N1132" s="50"/>
      <c r="O1132" s="50"/>
      <c r="P1132" s="50"/>
      <c r="Q1132" s="50"/>
      <c r="R1132" s="50"/>
      <c r="S1132" s="50"/>
      <c r="T1132" s="17"/>
      <c r="U1132" s="5"/>
      <c r="V1132" s="5"/>
      <c r="W1132" s="5"/>
      <c r="X1132" s="5"/>
      <c r="Y1132" s="5"/>
      <c r="Z1132" s="5"/>
      <c r="AA1132" s="5"/>
      <c r="AB1132" s="5"/>
      <c r="AC1132" s="5"/>
      <c r="AD1132" s="5"/>
      <c r="AE1132" s="5"/>
      <c r="AF1132" s="5"/>
      <c r="AG1132" s="5"/>
      <c r="AH1132" s="5"/>
      <c r="AI1132" s="5"/>
      <c r="AJ1132" s="5"/>
      <c r="AK1132" s="5"/>
      <c r="AL1132" s="5"/>
      <c r="AM1132" s="5"/>
      <c r="AN1132" s="5"/>
    </row>
    <row r="1133" spans="1:40" x14ac:dyDescent="0.35">
      <c r="A1133" s="5"/>
      <c r="B1133" s="1"/>
      <c r="C1133" s="1"/>
      <c r="D1133" s="1"/>
      <c r="E1133" s="50"/>
      <c r="F1133" s="50"/>
      <c r="G1133" s="50"/>
      <c r="H1133" s="50"/>
      <c r="I1133" s="50"/>
      <c r="J1133" s="50"/>
      <c r="K1133" s="50"/>
      <c r="L1133" s="50"/>
      <c r="M1133" s="50"/>
      <c r="N1133" s="50"/>
      <c r="O1133" s="50"/>
      <c r="P1133" s="50"/>
      <c r="Q1133" s="50"/>
      <c r="R1133" s="50"/>
      <c r="S1133" s="50"/>
      <c r="T1133" s="17"/>
      <c r="U1133" s="5"/>
      <c r="V1133" s="5"/>
      <c r="W1133" s="5"/>
      <c r="X1133" s="5"/>
      <c r="Y1133" s="5"/>
      <c r="Z1133" s="5"/>
      <c r="AA1133" s="5"/>
      <c r="AB1133" s="5"/>
      <c r="AC1133" s="5"/>
      <c r="AD1133" s="5"/>
      <c r="AE1133" s="5"/>
      <c r="AF1133" s="5"/>
      <c r="AG1133" s="5"/>
      <c r="AH1133" s="5"/>
      <c r="AI1133" s="5"/>
      <c r="AJ1133" s="5"/>
      <c r="AK1133" s="5"/>
      <c r="AL1133" s="5"/>
      <c r="AM1133" s="5"/>
      <c r="AN1133" s="5"/>
    </row>
    <row r="1134" spans="1:40" x14ac:dyDescent="0.35">
      <c r="A1134" s="5"/>
      <c r="B1134" s="1"/>
      <c r="C1134" s="1"/>
      <c r="D1134" s="1"/>
      <c r="E1134" s="50"/>
      <c r="F1134" s="50"/>
      <c r="G1134" s="50"/>
      <c r="H1134" s="50"/>
      <c r="I1134" s="50"/>
      <c r="J1134" s="50"/>
      <c r="K1134" s="50"/>
      <c r="L1134" s="50"/>
      <c r="M1134" s="50"/>
      <c r="N1134" s="50"/>
      <c r="O1134" s="50"/>
      <c r="P1134" s="50"/>
      <c r="Q1134" s="50"/>
      <c r="R1134" s="50"/>
      <c r="S1134" s="50"/>
      <c r="T1134" s="17"/>
      <c r="U1134" s="5"/>
      <c r="V1134" s="5"/>
      <c r="W1134" s="5"/>
      <c r="X1134" s="5"/>
      <c r="Y1134" s="5"/>
      <c r="Z1134" s="5"/>
      <c r="AA1134" s="5"/>
      <c r="AB1134" s="5"/>
      <c r="AC1134" s="5"/>
      <c r="AD1134" s="5"/>
      <c r="AE1134" s="5"/>
      <c r="AF1134" s="5"/>
      <c r="AG1134" s="5"/>
      <c r="AH1134" s="5"/>
      <c r="AI1134" s="5"/>
      <c r="AJ1134" s="5"/>
      <c r="AK1134" s="5"/>
      <c r="AL1134" s="5"/>
      <c r="AM1134" s="5"/>
      <c r="AN1134" s="5"/>
    </row>
    <row r="1135" spans="1:40" x14ac:dyDescent="0.35">
      <c r="A1135" s="5"/>
      <c r="B1135" s="1"/>
      <c r="C1135" s="1"/>
      <c r="D1135" s="1"/>
      <c r="E1135" s="50"/>
      <c r="F1135" s="50"/>
      <c r="G1135" s="50"/>
      <c r="H1135" s="50"/>
      <c r="I1135" s="50"/>
      <c r="J1135" s="50"/>
      <c r="K1135" s="50"/>
      <c r="L1135" s="50"/>
      <c r="M1135" s="50"/>
      <c r="N1135" s="50"/>
      <c r="O1135" s="50"/>
      <c r="P1135" s="50"/>
      <c r="Q1135" s="50"/>
      <c r="R1135" s="50"/>
      <c r="S1135" s="50"/>
      <c r="T1135" s="17"/>
      <c r="U1135" s="5"/>
      <c r="V1135" s="5"/>
      <c r="W1135" s="5"/>
      <c r="X1135" s="5"/>
      <c r="Y1135" s="5"/>
      <c r="Z1135" s="5"/>
      <c r="AA1135" s="5"/>
      <c r="AB1135" s="5"/>
      <c r="AC1135" s="5"/>
      <c r="AD1135" s="5"/>
      <c r="AE1135" s="5"/>
      <c r="AF1135" s="5"/>
      <c r="AG1135" s="5"/>
      <c r="AH1135" s="5"/>
      <c r="AI1135" s="5"/>
      <c r="AJ1135" s="5"/>
      <c r="AK1135" s="5"/>
      <c r="AL1135" s="5"/>
      <c r="AM1135" s="5"/>
      <c r="AN1135" s="5"/>
    </row>
    <row r="1136" spans="1:40" x14ac:dyDescent="0.35">
      <c r="A1136" s="5"/>
      <c r="B1136" s="1"/>
      <c r="C1136" s="1"/>
      <c r="D1136" s="1"/>
      <c r="E1136" s="50"/>
      <c r="F1136" s="50"/>
      <c r="G1136" s="50"/>
      <c r="H1136" s="50"/>
      <c r="I1136" s="50"/>
      <c r="J1136" s="50"/>
      <c r="K1136" s="50"/>
      <c r="L1136" s="50"/>
      <c r="M1136" s="50"/>
      <c r="N1136" s="50"/>
      <c r="O1136" s="50"/>
      <c r="P1136" s="50"/>
      <c r="Q1136" s="50"/>
      <c r="R1136" s="50"/>
      <c r="S1136" s="50"/>
      <c r="T1136" s="17"/>
      <c r="U1136" s="5"/>
      <c r="V1136" s="5"/>
      <c r="W1136" s="5"/>
      <c r="X1136" s="5"/>
      <c r="Y1136" s="5"/>
      <c r="Z1136" s="5"/>
      <c r="AA1136" s="5"/>
      <c r="AB1136" s="5"/>
      <c r="AC1136" s="5"/>
      <c r="AD1136" s="5"/>
      <c r="AE1136" s="5"/>
      <c r="AF1136" s="5"/>
      <c r="AG1136" s="5"/>
      <c r="AH1136" s="5"/>
      <c r="AI1136" s="5"/>
      <c r="AJ1136" s="5"/>
      <c r="AK1136" s="5"/>
      <c r="AL1136" s="5"/>
      <c r="AM1136" s="5"/>
      <c r="AN1136" s="5"/>
    </row>
    <row r="1137" spans="1:40" x14ac:dyDescent="0.35">
      <c r="A1137" s="5"/>
      <c r="B1137" s="1"/>
      <c r="C1137" s="1"/>
      <c r="D1137" s="1"/>
      <c r="E1137" s="50"/>
      <c r="F1137" s="50"/>
      <c r="G1137" s="50"/>
      <c r="H1137" s="50"/>
      <c r="I1137" s="50"/>
      <c r="J1137" s="50"/>
      <c r="K1137" s="50"/>
      <c r="L1137" s="50"/>
      <c r="M1137" s="50"/>
      <c r="N1137" s="50"/>
      <c r="O1137" s="50"/>
      <c r="P1137" s="50"/>
      <c r="Q1137" s="50"/>
      <c r="R1137" s="50"/>
      <c r="S1137" s="50"/>
      <c r="T1137" s="17"/>
      <c r="U1137" s="5"/>
      <c r="V1137" s="5"/>
      <c r="W1137" s="5"/>
      <c r="X1137" s="5"/>
      <c r="Y1137" s="5"/>
      <c r="Z1137" s="5"/>
      <c r="AA1137" s="5"/>
      <c r="AB1137" s="5"/>
      <c r="AC1137" s="5"/>
      <c r="AD1137" s="5"/>
      <c r="AE1137" s="5"/>
      <c r="AF1137" s="5"/>
      <c r="AG1137" s="5"/>
      <c r="AH1137" s="5"/>
      <c r="AI1137" s="5"/>
      <c r="AJ1137" s="5"/>
      <c r="AK1137" s="5"/>
      <c r="AL1137" s="5"/>
      <c r="AM1137" s="5"/>
      <c r="AN1137" s="5"/>
    </row>
    <row r="1138" spans="1:40" x14ac:dyDescent="0.35">
      <c r="A1138" s="5"/>
      <c r="B1138" s="1"/>
      <c r="C1138" s="1"/>
      <c r="D1138" s="1"/>
      <c r="E1138" s="50"/>
      <c r="F1138" s="50"/>
      <c r="G1138" s="50"/>
      <c r="H1138" s="50"/>
      <c r="I1138" s="50"/>
      <c r="J1138" s="50"/>
      <c r="K1138" s="50"/>
      <c r="L1138" s="50"/>
      <c r="M1138" s="50"/>
      <c r="N1138" s="50"/>
      <c r="O1138" s="50"/>
      <c r="P1138" s="50"/>
      <c r="Q1138" s="50"/>
      <c r="R1138" s="50"/>
      <c r="S1138" s="50"/>
      <c r="T1138" s="17"/>
      <c r="U1138" s="5"/>
      <c r="V1138" s="5"/>
      <c r="W1138" s="5"/>
      <c r="X1138" s="5"/>
      <c r="Y1138" s="5"/>
      <c r="Z1138" s="5"/>
      <c r="AA1138" s="5"/>
      <c r="AB1138" s="5"/>
      <c r="AC1138" s="5"/>
      <c r="AD1138" s="5"/>
      <c r="AE1138" s="5"/>
      <c r="AF1138" s="5"/>
      <c r="AG1138" s="5"/>
      <c r="AH1138" s="5"/>
      <c r="AI1138" s="5"/>
      <c r="AJ1138" s="5"/>
      <c r="AK1138" s="5"/>
      <c r="AL1138" s="5"/>
      <c r="AM1138" s="5"/>
      <c r="AN1138" s="5"/>
    </row>
    <row r="1139" spans="1:40" x14ac:dyDescent="0.35">
      <c r="A1139" s="5"/>
      <c r="B1139" s="1"/>
      <c r="C1139" s="1"/>
      <c r="D1139" s="1"/>
      <c r="E1139" s="50"/>
      <c r="F1139" s="50"/>
      <c r="G1139" s="50"/>
      <c r="H1139" s="50"/>
      <c r="I1139" s="50"/>
      <c r="J1139" s="50"/>
      <c r="K1139" s="50"/>
      <c r="L1139" s="50"/>
      <c r="M1139" s="50"/>
      <c r="N1139" s="50"/>
      <c r="O1139" s="50"/>
      <c r="P1139" s="50"/>
      <c r="Q1139" s="50"/>
      <c r="R1139" s="50"/>
      <c r="S1139" s="50"/>
      <c r="T1139" s="17"/>
      <c r="U1139" s="5"/>
      <c r="V1139" s="5"/>
      <c r="W1139" s="5"/>
      <c r="X1139" s="5"/>
      <c r="Y1139" s="5"/>
      <c r="Z1139" s="5"/>
      <c r="AA1139" s="5"/>
      <c r="AB1139" s="5"/>
      <c r="AC1139" s="5"/>
      <c r="AD1139" s="5"/>
      <c r="AE1139" s="5"/>
      <c r="AF1139" s="5"/>
      <c r="AG1139" s="5"/>
      <c r="AH1139" s="5"/>
      <c r="AI1139" s="5"/>
      <c r="AJ1139" s="5"/>
      <c r="AK1139" s="5"/>
      <c r="AL1139" s="5"/>
      <c r="AM1139" s="5"/>
      <c r="AN1139" s="5"/>
    </row>
    <row r="1140" spans="1:40" x14ac:dyDescent="0.35">
      <c r="A1140" s="5"/>
      <c r="B1140" s="1"/>
      <c r="C1140" s="1"/>
      <c r="D1140" s="1"/>
      <c r="E1140" s="50"/>
      <c r="F1140" s="50"/>
      <c r="G1140" s="50"/>
      <c r="H1140" s="50"/>
      <c r="I1140" s="50"/>
      <c r="J1140" s="50"/>
      <c r="K1140" s="50"/>
      <c r="L1140" s="50"/>
      <c r="M1140" s="50"/>
      <c r="N1140" s="50"/>
      <c r="O1140" s="50"/>
      <c r="P1140" s="50"/>
      <c r="Q1140" s="50"/>
      <c r="R1140" s="50"/>
      <c r="S1140" s="50"/>
      <c r="T1140" s="17"/>
      <c r="U1140" s="5"/>
      <c r="V1140" s="5"/>
      <c r="W1140" s="5"/>
      <c r="X1140" s="5"/>
      <c r="Y1140" s="5"/>
      <c r="Z1140" s="5"/>
      <c r="AA1140" s="5"/>
      <c r="AB1140" s="5"/>
      <c r="AC1140" s="5"/>
      <c r="AD1140" s="5"/>
      <c r="AE1140" s="5"/>
      <c r="AF1140" s="5"/>
      <c r="AG1140" s="5"/>
      <c r="AH1140" s="5"/>
      <c r="AI1140" s="5"/>
      <c r="AJ1140" s="5"/>
      <c r="AK1140" s="5"/>
      <c r="AL1140" s="5"/>
      <c r="AM1140" s="5"/>
      <c r="AN1140" s="5"/>
    </row>
    <row r="1141" spans="1:40" x14ac:dyDescent="0.35">
      <c r="A1141" s="5"/>
      <c r="B1141" s="1"/>
      <c r="C1141" s="1"/>
      <c r="D1141" s="1"/>
      <c r="E1141" s="50"/>
      <c r="F1141" s="50"/>
      <c r="G1141" s="50"/>
      <c r="H1141" s="50"/>
      <c r="I1141" s="50"/>
      <c r="J1141" s="50"/>
      <c r="K1141" s="50"/>
      <c r="L1141" s="50"/>
      <c r="M1141" s="50"/>
      <c r="N1141" s="50"/>
      <c r="O1141" s="50"/>
      <c r="P1141" s="50"/>
      <c r="Q1141" s="50"/>
      <c r="R1141" s="50"/>
      <c r="S1141" s="50"/>
      <c r="T1141" s="17"/>
      <c r="U1141" s="5"/>
      <c r="V1141" s="5"/>
      <c r="W1141" s="5"/>
      <c r="X1141" s="5"/>
      <c r="Y1141" s="5"/>
      <c r="Z1141" s="5"/>
      <c r="AA1141" s="5"/>
      <c r="AB1141" s="5"/>
      <c r="AC1141" s="5"/>
      <c r="AD1141" s="5"/>
      <c r="AE1141" s="5"/>
      <c r="AF1141" s="5"/>
      <c r="AG1141" s="5"/>
      <c r="AH1141" s="5"/>
      <c r="AI1141" s="5"/>
      <c r="AJ1141" s="5"/>
      <c r="AK1141" s="5"/>
      <c r="AL1141" s="5"/>
      <c r="AM1141" s="5"/>
      <c r="AN1141" s="5"/>
    </row>
    <row r="1142" spans="1:40" x14ac:dyDescent="0.35">
      <c r="A1142" s="5"/>
      <c r="B1142" s="1"/>
      <c r="C1142" s="1"/>
      <c r="D1142" s="1"/>
      <c r="E1142" s="50"/>
      <c r="F1142" s="50"/>
      <c r="G1142" s="50"/>
      <c r="H1142" s="50"/>
      <c r="I1142" s="50"/>
      <c r="J1142" s="50"/>
      <c r="K1142" s="50"/>
      <c r="L1142" s="50"/>
      <c r="M1142" s="50"/>
      <c r="N1142" s="50"/>
      <c r="O1142" s="50"/>
      <c r="P1142" s="50"/>
      <c r="Q1142" s="50"/>
      <c r="R1142" s="50"/>
      <c r="S1142" s="50"/>
      <c r="T1142" s="17"/>
      <c r="U1142" s="5"/>
      <c r="V1142" s="5"/>
      <c r="W1142" s="5"/>
      <c r="X1142" s="5"/>
      <c r="Y1142" s="5"/>
      <c r="Z1142" s="5"/>
      <c r="AA1142" s="5"/>
      <c r="AB1142" s="5"/>
      <c r="AC1142" s="5"/>
      <c r="AD1142" s="5"/>
      <c r="AE1142" s="5"/>
      <c r="AF1142" s="5"/>
      <c r="AG1142" s="5"/>
      <c r="AH1142" s="5"/>
      <c r="AI1142" s="5"/>
      <c r="AJ1142" s="5"/>
      <c r="AK1142" s="5"/>
      <c r="AL1142" s="5"/>
      <c r="AM1142" s="5"/>
      <c r="AN1142" s="5"/>
    </row>
    <row r="1143" spans="1:40" x14ac:dyDescent="0.35">
      <c r="A1143" s="5"/>
      <c r="B1143" s="1"/>
      <c r="C1143" s="1"/>
      <c r="D1143" s="1"/>
      <c r="E1143" s="50"/>
      <c r="F1143" s="50"/>
      <c r="G1143" s="50"/>
      <c r="H1143" s="50"/>
      <c r="I1143" s="50"/>
      <c r="J1143" s="50"/>
      <c r="K1143" s="50"/>
      <c r="L1143" s="50"/>
      <c r="M1143" s="50"/>
      <c r="N1143" s="50"/>
      <c r="O1143" s="50"/>
      <c r="P1143" s="50"/>
      <c r="Q1143" s="50"/>
      <c r="R1143" s="50"/>
      <c r="S1143" s="50"/>
      <c r="T1143" s="17"/>
      <c r="U1143" s="5"/>
      <c r="V1143" s="5"/>
      <c r="W1143" s="5"/>
      <c r="X1143" s="5"/>
      <c r="Y1143" s="5"/>
      <c r="Z1143" s="5"/>
      <c r="AA1143" s="5"/>
      <c r="AB1143" s="5"/>
      <c r="AC1143" s="5"/>
      <c r="AD1143" s="5"/>
      <c r="AE1143" s="5"/>
      <c r="AF1143" s="5"/>
      <c r="AG1143" s="5"/>
      <c r="AH1143" s="5"/>
      <c r="AI1143" s="5"/>
      <c r="AJ1143" s="5"/>
      <c r="AK1143" s="5"/>
      <c r="AL1143" s="5"/>
      <c r="AM1143" s="5"/>
      <c r="AN1143" s="5"/>
    </row>
    <row r="1144" spans="1:40" x14ac:dyDescent="0.35">
      <c r="A1144" s="5"/>
      <c r="B1144" s="1"/>
      <c r="C1144" s="1"/>
      <c r="D1144" s="1"/>
      <c r="E1144" s="50"/>
      <c r="F1144" s="50"/>
      <c r="G1144" s="50"/>
      <c r="H1144" s="50"/>
      <c r="I1144" s="50"/>
      <c r="J1144" s="50"/>
      <c r="K1144" s="50"/>
      <c r="L1144" s="50"/>
      <c r="M1144" s="50"/>
      <c r="N1144" s="50"/>
      <c r="O1144" s="50"/>
      <c r="P1144" s="50"/>
      <c r="Q1144" s="50"/>
      <c r="R1144" s="50"/>
      <c r="S1144" s="50"/>
      <c r="T1144" s="17"/>
      <c r="U1144" s="5"/>
      <c r="V1144" s="5"/>
      <c r="W1144" s="5"/>
      <c r="X1144" s="5"/>
      <c r="Y1144" s="5"/>
      <c r="Z1144" s="5"/>
      <c r="AA1144" s="5"/>
      <c r="AB1144" s="5"/>
      <c r="AC1144" s="5"/>
      <c r="AD1144" s="5"/>
      <c r="AE1144" s="5"/>
      <c r="AF1144" s="5"/>
      <c r="AG1144" s="5"/>
      <c r="AH1144" s="5"/>
      <c r="AI1144" s="5"/>
      <c r="AJ1144" s="5"/>
      <c r="AK1144" s="5"/>
      <c r="AL1144" s="5"/>
      <c r="AM1144" s="5"/>
      <c r="AN1144" s="5"/>
    </row>
    <row r="1145" spans="1:40" x14ac:dyDescent="0.35">
      <c r="A1145" s="5"/>
      <c r="B1145" s="1"/>
      <c r="C1145" s="1"/>
      <c r="D1145" s="1"/>
      <c r="E1145" s="50"/>
      <c r="F1145" s="50"/>
      <c r="G1145" s="50"/>
      <c r="H1145" s="50"/>
      <c r="I1145" s="50"/>
      <c r="J1145" s="50"/>
      <c r="K1145" s="50"/>
      <c r="L1145" s="50"/>
      <c r="M1145" s="50"/>
      <c r="N1145" s="50"/>
      <c r="O1145" s="50"/>
      <c r="P1145" s="50"/>
      <c r="Q1145" s="50"/>
      <c r="R1145" s="50"/>
      <c r="S1145" s="50"/>
      <c r="T1145" s="17"/>
      <c r="U1145" s="5"/>
      <c r="V1145" s="5"/>
      <c r="W1145" s="5"/>
      <c r="X1145" s="5"/>
      <c r="Y1145" s="5"/>
      <c r="Z1145" s="5"/>
      <c r="AA1145" s="5"/>
      <c r="AB1145" s="5"/>
      <c r="AC1145" s="5"/>
      <c r="AD1145" s="5"/>
      <c r="AE1145" s="5"/>
      <c r="AF1145" s="5"/>
      <c r="AG1145" s="5"/>
      <c r="AH1145" s="5"/>
      <c r="AI1145" s="5"/>
      <c r="AJ1145" s="5"/>
      <c r="AK1145" s="5"/>
      <c r="AL1145" s="5"/>
      <c r="AM1145" s="5"/>
      <c r="AN1145" s="5"/>
    </row>
    <row r="1146" spans="1:40" x14ac:dyDescent="0.35">
      <c r="A1146" s="5"/>
      <c r="B1146" s="1"/>
      <c r="C1146" s="1"/>
      <c r="D1146" s="1"/>
      <c r="E1146" s="50"/>
      <c r="F1146" s="50"/>
      <c r="G1146" s="50"/>
      <c r="H1146" s="50"/>
      <c r="I1146" s="50"/>
      <c r="J1146" s="50"/>
      <c r="K1146" s="50"/>
      <c r="L1146" s="50"/>
      <c r="M1146" s="50"/>
      <c r="N1146" s="50"/>
      <c r="O1146" s="50"/>
      <c r="P1146" s="50"/>
      <c r="Q1146" s="50"/>
      <c r="R1146" s="50"/>
      <c r="S1146" s="50"/>
      <c r="T1146" s="17"/>
      <c r="U1146" s="5"/>
      <c r="V1146" s="5"/>
      <c r="W1146" s="5"/>
      <c r="X1146" s="5"/>
      <c r="Y1146" s="5"/>
      <c r="Z1146" s="5"/>
      <c r="AA1146" s="5"/>
      <c r="AB1146" s="5"/>
      <c r="AC1146" s="5"/>
      <c r="AD1146" s="5"/>
      <c r="AE1146" s="5"/>
      <c r="AF1146" s="5"/>
      <c r="AG1146" s="5"/>
      <c r="AH1146" s="5"/>
      <c r="AI1146" s="5"/>
      <c r="AJ1146" s="5"/>
      <c r="AK1146" s="5"/>
      <c r="AL1146" s="5"/>
      <c r="AM1146" s="5"/>
      <c r="AN1146" s="5"/>
    </row>
    <row r="1147" spans="1:40" x14ac:dyDescent="0.35">
      <c r="A1147" s="5"/>
      <c r="B1147" s="1"/>
      <c r="C1147" s="1"/>
      <c r="D1147" s="1"/>
      <c r="E1147" s="50"/>
      <c r="F1147" s="50"/>
      <c r="G1147" s="50"/>
      <c r="H1147" s="50"/>
      <c r="I1147" s="50"/>
      <c r="J1147" s="50"/>
      <c r="K1147" s="50"/>
      <c r="L1147" s="50"/>
      <c r="M1147" s="50"/>
      <c r="N1147" s="50"/>
      <c r="O1147" s="50"/>
      <c r="P1147" s="50"/>
      <c r="Q1147" s="50"/>
      <c r="R1147" s="50"/>
      <c r="S1147" s="50"/>
      <c r="T1147" s="17"/>
      <c r="U1147" s="5"/>
      <c r="V1147" s="5"/>
      <c r="W1147" s="5"/>
      <c r="X1147" s="5"/>
      <c r="Y1147" s="5"/>
      <c r="Z1147" s="5"/>
      <c r="AA1147" s="5"/>
      <c r="AB1147" s="5"/>
      <c r="AC1147" s="5"/>
      <c r="AD1147" s="5"/>
      <c r="AE1147" s="5"/>
      <c r="AF1147" s="5"/>
      <c r="AG1147" s="5"/>
      <c r="AH1147" s="5"/>
      <c r="AI1147" s="5"/>
      <c r="AJ1147" s="5"/>
      <c r="AK1147" s="5"/>
      <c r="AL1147" s="5"/>
      <c r="AM1147" s="5"/>
      <c r="AN1147" s="5"/>
    </row>
    <row r="1148" spans="1:40" x14ac:dyDescent="0.35">
      <c r="A1148" s="5"/>
      <c r="B1148" s="1"/>
      <c r="C1148" s="1"/>
      <c r="D1148" s="1"/>
      <c r="E1148" s="50"/>
      <c r="F1148" s="50"/>
      <c r="G1148" s="50"/>
      <c r="H1148" s="50"/>
      <c r="I1148" s="50"/>
      <c r="J1148" s="50"/>
      <c r="K1148" s="50"/>
      <c r="L1148" s="50"/>
      <c r="M1148" s="50"/>
      <c r="N1148" s="50"/>
      <c r="O1148" s="50"/>
      <c r="P1148" s="50"/>
      <c r="Q1148" s="50"/>
      <c r="R1148" s="50"/>
      <c r="S1148" s="50"/>
      <c r="T1148" s="17"/>
      <c r="U1148" s="5"/>
      <c r="V1148" s="5"/>
      <c r="W1148" s="5"/>
      <c r="X1148" s="5"/>
      <c r="Y1148" s="5"/>
      <c r="Z1148" s="5"/>
      <c r="AA1148" s="5"/>
      <c r="AB1148" s="5"/>
      <c r="AC1148" s="5"/>
      <c r="AD1148" s="5"/>
      <c r="AE1148" s="5"/>
      <c r="AF1148" s="5"/>
      <c r="AG1148" s="5"/>
      <c r="AH1148" s="5"/>
      <c r="AI1148" s="5"/>
      <c r="AJ1148" s="5"/>
      <c r="AK1148" s="5"/>
      <c r="AL1148" s="5"/>
      <c r="AM1148" s="5"/>
      <c r="AN1148" s="5"/>
    </row>
    <row r="1149" spans="1:40" x14ac:dyDescent="0.35">
      <c r="A1149" s="5"/>
      <c r="B1149" s="1"/>
      <c r="C1149" s="1"/>
      <c r="D1149" s="1"/>
      <c r="E1149" s="50"/>
      <c r="F1149" s="50"/>
      <c r="G1149" s="50"/>
      <c r="H1149" s="50"/>
      <c r="I1149" s="50"/>
      <c r="J1149" s="50"/>
      <c r="K1149" s="50"/>
      <c r="L1149" s="50"/>
      <c r="M1149" s="50"/>
      <c r="N1149" s="50"/>
      <c r="O1149" s="50"/>
      <c r="P1149" s="50"/>
      <c r="Q1149" s="50"/>
      <c r="R1149" s="50"/>
      <c r="S1149" s="50"/>
      <c r="T1149" s="17"/>
      <c r="U1149" s="5"/>
      <c r="V1149" s="5"/>
      <c r="W1149" s="5"/>
      <c r="X1149" s="5"/>
      <c r="Y1149" s="5"/>
      <c r="Z1149" s="5"/>
      <c r="AA1149" s="5"/>
      <c r="AB1149" s="5"/>
      <c r="AC1149" s="5"/>
      <c r="AD1149" s="5"/>
      <c r="AE1149" s="5"/>
      <c r="AF1149" s="5"/>
      <c r="AG1149" s="5"/>
      <c r="AH1149" s="5"/>
      <c r="AI1149" s="5"/>
      <c r="AJ1149" s="5"/>
      <c r="AK1149" s="5"/>
      <c r="AL1149" s="5"/>
      <c r="AM1149" s="5"/>
      <c r="AN1149" s="5"/>
    </row>
    <row r="1150" spans="1:40" x14ac:dyDescent="0.35">
      <c r="A1150" s="5"/>
      <c r="B1150" s="1"/>
      <c r="C1150" s="1"/>
      <c r="D1150" s="1"/>
      <c r="E1150" s="50"/>
      <c r="F1150" s="50"/>
      <c r="G1150" s="50"/>
      <c r="H1150" s="50"/>
      <c r="I1150" s="50"/>
      <c r="J1150" s="50"/>
      <c r="K1150" s="50"/>
      <c r="L1150" s="50"/>
      <c r="M1150" s="50"/>
      <c r="N1150" s="50"/>
      <c r="O1150" s="50"/>
      <c r="P1150" s="50"/>
      <c r="Q1150" s="50"/>
      <c r="R1150" s="50"/>
      <c r="S1150" s="50"/>
      <c r="T1150" s="17"/>
      <c r="U1150" s="5"/>
      <c r="V1150" s="5"/>
      <c r="W1150" s="5"/>
      <c r="X1150" s="5"/>
      <c r="Y1150" s="5"/>
      <c r="Z1150" s="5"/>
      <c r="AA1150" s="5"/>
      <c r="AB1150" s="5"/>
      <c r="AC1150" s="5"/>
      <c r="AD1150" s="5"/>
      <c r="AE1150" s="5"/>
      <c r="AF1150" s="5"/>
      <c r="AG1150" s="5"/>
      <c r="AH1150" s="5"/>
      <c r="AI1150" s="5"/>
      <c r="AJ1150" s="5"/>
      <c r="AK1150" s="5"/>
      <c r="AL1150" s="5"/>
      <c r="AM1150" s="5"/>
      <c r="AN1150" s="5"/>
    </row>
    <row r="1151" spans="1:40" x14ac:dyDescent="0.35">
      <c r="A1151" s="5"/>
      <c r="B1151" s="1"/>
      <c r="C1151" s="1"/>
      <c r="D1151" s="1"/>
      <c r="E1151" s="50"/>
      <c r="F1151" s="50"/>
      <c r="G1151" s="50"/>
      <c r="H1151" s="50"/>
      <c r="I1151" s="50"/>
      <c r="J1151" s="50"/>
      <c r="K1151" s="50"/>
      <c r="L1151" s="50"/>
      <c r="M1151" s="50"/>
      <c r="N1151" s="50"/>
      <c r="O1151" s="50"/>
      <c r="P1151" s="50"/>
      <c r="Q1151" s="50"/>
      <c r="R1151" s="50"/>
      <c r="S1151" s="50"/>
      <c r="T1151" s="17"/>
      <c r="U1151" s="5"/>
      <c r="V1151" s="5"/>
      <c r="W1151" s="5"/>
      <c r="X1151" s="5"/>
      <c r="Y1151" s="5"/>
      <c r="Z1151" s="5"/>
      <c r="AA1151" s="5"/>
      <c r="AB1151" s="5"/>
      <c r="AC1151" s="5"/>
      <c r="AD1151" s="5"/>
      <c r="AE1151" s="5"/>
      <c r="AF1151" s="5"/>
      <c r="AG1151" s="5"/>
      <c r="AH1151" s="5"/>
      <c r="AI1151" s="5"/>
      <c r="AJ1151" s="5"/>
      <c r="AK1151" s="5"/>
      <c r="AL1151" s="5"/>
      <c r="AM1151" s="5"/>
      <c r="AN1151" s="5"/>
    </row>
    <row r="1152" spans="1:40" x14ac:dyDescent="0.35">
      <c r="A1152" s="5"/>
      <c r="B1152" s="1"/>
      <c r="C1152" s="1"/>
      <c r="D1152" s="1"/>
      <c r="E1152" s="50"/>
      <c r="F1152" s="50"/>
      <c r="G1152" s="50"/>
      <c r="H1152" s="50"/>
      <c r="I1152" s="50"/>
      <c r="J1152" s="50"/>
      <c r="K1152" s="50"/>
      <c r="L1152" s="50"/>
      <c r="M1152" s="50"/>
      <c r="N1152" s="50"/>
      <c r="O1152" s="50"/>
      <c r="P1152" s="50"/>
      <c r="Q1152" s="50"/>
      <c r="R1152" s="50"/>
      <c r="S1152" s="50"/>
      <c r="T1152" s="17"/>
      <c r="U1152" s="5"/>
      <c r="V1152" s="5"/>
      <c r="W1152" s="5"/>
      <c r="X1152" s="5"/>
      <c r="Y1152" s="5"/>
      <c r="Z1152" s="5"/>
      <c r="AA1152" s="5"/>
      <c r="AB1152" s="5"/>
      <c r="AC1152" s="5"/>
      <c r="AD1152" s="5"/>
      <c r="AE1152" s="5"/>
      <c r="AF1152" s="5"/>
      <c r="AG1152" s="5"/>
      <c r="AH1152" s="5"/>
      <c r="AI1152" s="5"/>
      <c r="AJ1152" s="5"/>
      <c r="AK1152" s="5"/>
      <c r="AL1152" s="5"/>
      <c r="AM1152" s="5"/>
      <c r="AN1152" s="5"/>
    </row>
    <row r="1153" spans="1:40" x14ac:dyDescent="0.35">
      <c r="A1153" s="5"/>
      <c r="B1153" s="1"/>
      <c r="C1153" s="1"/>
      <c r="D1153" s="1"/>
      <c r="E1153" s="50"/>
      <c r="F1153" s="50"/>
      <c r="G1153" s="50"/>
      <c r="H1153" s="50"/>
      <c r="I1153" s="50"/>
      <c r="J1153" s="50"/>
      <c r="K1153" s="50"/>
      <c r="L1153" s="50"/>
      <c r="M1153" s="50"/>
      <c r="N1153" s="50"/>
      <c r="O1153" s="50"/>
      <c r="P1153" s="50"/>
      <c r="Q1153" s="50"/>
      <c r="R1153" s="50"/>
      <c r="S1153" s="50"/>
      <c r="T1153" s="17"/>
      <c r="U1153" s="5"/>
      <c r="V1153" s="5"/>
      <c r="W1153" s="5"/>
      <c r="X1153" s="5"/>
      <c r="Y1153" s="5"/>
      <c r="Z1153" s="5"/>
      <c r="AA1153" s="5"/>
      <c r="AB1153" s="5"/>
      <c r="AC1153" s="5"/>
      <c r="AD1153" s="5"/>
      <c r="AE1153" s="5"/>
      <c r="AF1153" s="5"/>
      <c r="AG1153" s="5"/>
      <c r="AH1153" s="5"/>
      <c r="AI1153" s="5"/>
      <c r="AJ1153" s="5"/>
      <c r="AK1153" s="5"/>
      <c r="AL1153" s="5"/>
      <c r="AM1153" s="5"/>
      <c r="AN1153" s="5"/>
    </row>
    <row r="1154" spans="1:40" x14ac:dyDescent="0.35">
      <c r="A1154" s="5"/>
      <c r="B1154" s="1"/>
      <c r="C1154" s="1"/>
      <c r="D1154" s="1"/>
      <c r="E1154" s="50"/>
      <c r="F1154" s="50"/>
      <c r="G1154" s="50"/>
      <c r="H1154" s="50"/>
      <c r="I1154" s="50"/>
      <c r="J1154" s="50"/>
      <c r="K1154" s="50"/>
      <c r="L1154" s="50"/>
      <c r="M1154" s="50"/>
      <c r="N1154" s="50"/>
      <c r="O1154" s="50"/>
      <c r="P1154" s="50"/>
      <c r="Q1154" s="50"/>
      <c r="R1154" s="50"/>
      <c r="S1154" s="50"/>
      <c r="T1154" s="17"/>
      <c r="U1154" s="5"/>
      <c r="V1154" s="5"/>
      <c r="W1154" s="5"/>
      <c r="X1154" s="5"/>
      <c r="Y1154" s="5"/>
      <c r="Z1154" s="5"/>
      <c r="AA1154" s="5"/>
      <c r="AB1154" s="5"/>
      <c r="AC1154" s="5"/>
      <c r="AD1154" s="5"/>
      <c r="AE1154" s="5"/>
      <c r="AF1154" s="5"/>
      <c r="AG1154" s="5"/>
      <c r="AH1154" s="5"/>
      <c r="AI1154" s="5"/>
      <c r="AJ1154" s="5"/>
      <c r="AK1154" s="5"/>
      <c r="AL1154" s="5"/>
      <c r="AM1154" s="5"/>
      <c r="AN1154" s="5"/>
    </row>
    <row r="1155" spans="1:40" x14ac:dyDescent="0.35">
      <c r="A1155" s="5"/>
      <c r="B1155" s="1"/>
      <c r="C1155" s="1"/>
      <c r="D1155" s="1"/>
      <c r="E1155" s="50"/>
      <c r="F1155" s="50"/>
      <c r="G1155" s="50"/>
      <c r="H1155" s="50"/>
      <c r="I1155" s="50"/>
      <c r="J1155" s="50"/>
      <c r="K1155" s="50"/>
      <c r="L1155" s="50"/>
      <c r="M1155" s="50"/>
      <c r="N1155" s="50"/>
      <c r="O1155" s="50"/>
      <c r="P1155" s="50"/>
      <c r="Q1155" s="50"/>
      <c r="R1155" s="50"/>
      <c r="S1155" s="50"/>
      <c r="T1155" s="17"/>
      <c r="U1155" s="5"/>
      <c r="V1155" s="5"/>
      <c r="W1155" s="5"/>
      <c r="X1155" s="5"/>
      <c r="Y1155" s="5"/>
      <c r="Z1155" s="5"/>
      <c r="AA1155" s="5"/>
      <c r="AB1155" s="5"/>
      <c r="AC1155" s="5"/>
      <c r="AD1155" s="5"/>
      <c r="AE1155" s="5"/>
      <c r="AF1155" s="5"/>
      <c r="AG1155" s="5"/>
      <c r="AH1155" s="5"/>
      <c r="AI1155" s="5"/>
      <c r="AJ1155" s="5"/>
      <c r="AK1155" s="5"/>
      <c r="AL1155" s="5"/>
      <c r="AM1155" s="5"/>
      <c r="AN1155" s="5"/>
    </row>
    <row r="1156" spans="1:40" x14ac:dyDescent="0.35">
      <c r="A1156" s="5"/>
      <c r="B1156" s="1"/>
      <c r="C1156" s="1"/>
      <c r="D1156" s="1"/>
      <c r="E1156" s="50"/>
      <c r="F1156" s="50"/>
      <c r="G1156" s="50"/>
      <c r="H1156" s="50"/>
      <c r="I1156" s="50"/>
      <c r="J1156" s="50"/>
      <c r="K1156" s="50"/>
      <c r="L1156" s="50"/>
      <c r="M1156" s="50"/>
      <c r="N1156" s="50"/>
      <c r="O1156" s="50"/>
      <c r="P1156" s="50"/>
      <c r="Q1156" s="50"/>
      <c r="R1156" s="50"/>
      <c r="S1156" s="50"/>
      <c r="T1156" s="17"/>
      <c r="U1156" s="5"/>
      <c r="V1156" s="5"/>
      <c r="W1156" s="5"/>
      <c r="X1156" s="5"/>
      <c r="Y1156" s="5"/>
      <c r="Z1156" s="5"/>
      <c r="AA1156" s="5"/>
      <c r="AB1156" s="5"/>
      <c r="AC1156" s="5"/>
      <c r="AD1156" s="5"/>
      <c r="AE1156" s="5"/>
      <c r="AF1156" s="5"/>
      <c r="AG1156" s="5"/>
      <c r="AH1156" s="5"/>
      <c r="AI1156" s="5"/>
      <c r="AJ1156" s="5"/>
      <c r="AK1156" s="5"/>
      <c r="AL1156" s="5"/>
      <c r="AM1156" s="5"/>
      <c r="AN1156" s="5"/>
    </row>
    <row r="1157" spans="1:40" x14ac:dyDescent="0.35">
      <c r="A1157" s="5"/>
      <c r="B1157" s="1"/>
      <c r="C1157" s="1"/>
      <c r="D1157" s="1"/>
      <c r="E1157" s="50"/>
      <c r="F1157" s="50"/>
      <c r="G1157" s="50"/>
      <c r="H1157" s="50"/>
      <c r="I1157" s="50"/>
      <c r="J1157" s="50"/>
      <c r="K1157" s="50"/>
      <c r="L1157" s="50"/>
      <c r="M1157" s="50"/>
      <c r="N1157" s="50"/>
      <c r="O1157" s="50"/>
      <c r="P1157" s="50"/>
      <c r="Q1157" s="50"/>
      <c r="R1157" s="50"/>
      <c r="S1157" s="50"/>
      <c r="T1157" s="17"/>
      <c r="U1157" s="5"/>
      <c r="V1157" s="5"/>
      <c r="W1157" s="5"/>
      <c r="X1157" s="5"/>
      <c r="Y1157" s="5"/>
      <c r="Z1157" s="5"/>
      <c r="AA1157" s="5"/>
      <c r="AB1157" s="5"/>
      <c r="AC1157" s="5"/>
      <c r="AD1157" s="5"/>
      <c r="AE1157" s="5"/>
      <c r="AF1157" s="5"/>
      <c r="AG1157" s="5"/>
      <c r="AH1157" s="5"/>
      <c r="AI1157" s="5"/>
      <c r="AJ1157" s="5"/>
      <c r="AK1157" s="5"/>
      <c r="AL1157" s="5"/>
      <c r="AM1157" s="5"/>
      <c r="AN1157" s="5"/>
    </row>
    <row r="1158" spans="1:40" x14ac:dyDescent="0.35">
      <c r="A1158" s="5"/>
      <c r="B1158" s="1"/>
      <c r="C1158" s="1"/>
      <c r="D1158" s="1"/>
      <c r="E1158" s="50"/>
      <c r="F1158" s="50"/>
      <c r="G1158" s="50"/>
      <c r="H1158" s="50"/>
      <c r="I1158" s="50"/>
      <c r="J1158" s="50"/>
      <c r="K1158" s="50"/>
      <c r="L1158" s="50"/>
      <c r="M1158" s="50"/>
      <c r="N1158" s="50"/>
      <c r="O1158" s="50"/>
      <c r="P1158" s="50"/>
      <c r="Q1158" s="50"/>
      <c r="R1158" s="50"/>
      <c r="S1158" s="50"/>
      <c r="T1158" s="17"/>
      <c r="U1158" s="5"/>
      <c r="V1158" s="5"/>
      <c r="W1158" s="5"/>
      <c r="X1158" s="5"/>
      <c r="Y1158" s="5"/>
      <c r="Z1158" s="5"/>
      <c r="AA1158" s="5"/>
      <c r="AB1158" s="5"/>
      <c r="AC1158" s="5"/>
      <c r="AD1158" s="5"/>
      <c r="AE1158" s="5"/>
      <c r="AF1158" s="5"/>
      <c r="AG1158" s="5"/>
      <c r="AH1158" s="5"/>
      <c r="AI1158" s="5"/>
      <c r="AJ1158" s="5"/>
      <c r="AK1158" s="5"/>
      <c r="AL1158" s="5"/>
      <c r="AM1158" s="5"/>
      <c r="AN1158" s="5"/>
    </row>
    <row r="1159" spans="1:40" x14ac:dyDescent="0.35">
      <c r="A1159" s="5"/>
      <c r="B1159" s="1"/>
      <c r="C1159" s="1"/>
      <c r="D1159" s="1"/>
      <c r="E1159" s="50"/>
      <c r="F1159" s="50"/>
      <c r="G1159" s="50"/>
      <c r="H1159" s="50"/>
      <c r="I1159" s="50"/>
      <c r="J1159" s="50"/>
      <c r="K1159" s="50"/>
      <c r="L1159" s="50"/>
      <c r="M1159" s="50"/>
      <c r="N1159" s="50"/>
      <c r="O1159" s="50"/>
      <c r="P1159" s="50"/>
      <c r="Q1159" s="50"/>
      <c r="R1159" s="50"/>
      <c r="S1159" s="50"/>
      <c r="T1159" s="17"/>
      <c r="U1159" s="5"/>
      <c r="V1159" s="5"/>
      <c r="W1159" s="5"/>
      <c r="X1159" s="5"/>
      <c r="Y1159" s="5"/>
      <c r="Z1159" s="5"/>
      <c r="AA1159" s="5"/>
      <c r="AB1159" s="5"/>
      <c r="AC1159" s="5"/>
      <c r="AD1159" s="5"/>
      <c r="AE1159" s="5"/>
      <c r="AF1159" s="5"/>
      <c r="AG1159" s="5"/>
      <c r="AH1159" s="5"/>
      <c r="AI1159" s="5"/>
      <c r="AJ1159" s="5"/>
      <c r="AK1159" s="5"/>
      <c r="AL1159" s="5"/>
      <c r="AM1159" s="5"/>
      <c r="AN1159" s="5"/>
    </row>
    <row r="1160" spans="1:40" x14ac:dyDescent="0.35">
      <c r="A1160" s="5"/>
      <c r="B1160" s="1"/>
      <c r="C1160" s="1"/>
      <c r="D1160" s="1"/>
      <c r="E1160" s="50"/>
      <c r="F1160" s="50"/>
      <c r="G1160" s="50"/>
      <c r="H1160" s="50"/>
      <c r="I1160" s="50"/>
      <c r="J1160" s="50"/>
      <c r="K1160" s="50"/>
      <c r="L1160" s="50"/>
      <c r="M1160" s="50"/>
      <c r="N1160" s="50"/>
      <c r="O1160" s="50"/>
      <c r="P1160" s="50"/>
      <c r="Q1160" s="50"/>
      <c r="R1160" s="50"/>
      <c r="S1160" s="50"/>
      <c r="T1160" s="17"/>
      <c r="U1160" s="5"/>
      <c r="V1160" s="5"/>
      <c r="W1160" s="5"/>
      <c r="X1160" s="5"/>
      <c r="Y1160" s="5"/>
      <c r="Z1160" s="5"/>
      <c r="AA1160" s="5"/>
      <c r="AB1160" s="5"/>
      <c r="AC1160" s="5"/>
      <c r="AD1160" s="5"/>
      <c r="AE1160" s="5"/>
      <c r="AF1160" s="5"/>
      <c r="AG1160" s="5"/>
      <c r="AH1160" s="5"/>
      <c r="AI1160" s="5"/>
      <c r="AJ1160" s="5"/>
      <c r="AK1160" s="5"/>
      <c r="AL1160" s="5"/>
      <c r="AM1160" s="5"/>
      <c r="AN1160" s="5"/>
    </row>
    <row r="1161" spans="1:40" x14ac:dyDescent="0.35">
      <c r="A1161" s="5"/>
      <c r="B1161" s="1"/>
      <c r="C1161" s="1"/>
      <c r="D1161" s="1"/>
      <c r="E1161" s="50"/>
      <c r="F1161" s="50"/>
      <c r="G1161" s="50"/>
      <c r="H1161" s="50"/>
      <c r="I1161" s="50"/>
      <c r="J1161" s="50"/>
      <c r="K1161" s="50"/>
      <c r="L1161" s="50"/>
      <c r="M1161" s="50"/>
      <c r="N1161" s="50"/>
      <c r="O1161" s="50"/>
      <c r="P1161" s="50"/>
      <c r="Q1161" s="50"/>
      <c r="R1161" s="50"/>
      <c r="S1161" s="50"/>
      <c r="T1161" s="17"/>
      <c r="U1161" s="5"/>
      <c r="V1161" s="5"/>
      <c r="W1161" s="5"/>
      <c r="X1161" s="5"/>
      <c r="Y1161" s="5"/>
      <c r="Z1161" s="5"/>
      <c r="AA1161" s="5"/>
      <c r="AB1161" s="5"/>
      <c r="AC1161" s="5"/>
      <c r="AD1161" s="5"/>
      <c r="AE1161" s="5"/>
      <c r="AF1161" s="5"/>
      <c r="AG1161" s="5"/>
      <c r="AH1161" s="5"/>
      <c r="AI1161" s="5"/>
      <c r="AJ1161" s="5"/>
      <c r="AK1161" s="5"/>
      <c r="AL1161" s="5"/>
      <c r="AM1161" s="5"/>
      <c r="AN1161" s="5"/>
    </row>
    <row r="1162" spans="1:40" x14ac:dyDescent="0.35">
      <c r="A1162" s="5"/>
      <c r="B1162" s="1"/>
      <c r="C1162" s="1"/>
      <c r="D1162" s="1"/>
      <c r="E1162" s="50"/>
      <c r="F1162" s="50"/>
      <c r="G1162" s="50"/>
      <c r="H1162" s="50"/>
      <c r="I1162" s="50"/>
      <c r="J1162" s="50"/>
      <c r="K1162" s="50"/>
      <c r="L1162" s="50"/>
      <c r="M1162" s="50"/>
      <c r="N1162" s="50"/>
      <c r="O1162" s="50"/>
      <c r="P1162" s="50"/>
      <c r="Q1162" s="50"/>
      <c r="R1162" s="50"/>
      <c r="S1162" s="50"/>
      <c r="T1162" s="17"/>
      <c r="U1162" s="5"/>
      <c r="V1162" s="5"/>
      <c r="W1162" s="5"/>
      <c r="X1162" s="5"/>
      <c r="Y1162" s="5"/>
      <c r="Z1162" s="5"/>
      <c r="AA1162" s="5"/>
      <c r="AB1162" s="5"/>
      <c r="AC1162" s="5"/>
      <c r="AD1162" s="5"/>
      <c r="AE1162" s="5"/>
      <c r="AF1162" s="5"/>
      <c r="AG1162" s="5"/>
      <c r="AH1162" s="5"/>
      <c r="AI1162" s="5"/>
      <c r="AJ1162" s="5"/>
      <c r="AK1162" s="5"/>
      <c r="AL1162" s="5"/>
      <c r="AM1162" s="5"/>
      <c r="AN1162" s="5"/>
    </row>
    <row r="1163" spans="1:40" x14ac:dyDescent="0.35">
      <c r="A1163" s="5"/>
      <c r="B1163" s="1"/>
      <c r="C1163" s="1"/>
      <c r="D1163" s="1"/>
      <c r="E1163" s="50"/>
      <c r="F1163" s="50"/>
      <c r="G1163" s="50"/>
      <c r="H1163" s="50"/>
      <c r="I1163" s="50"/>
      <c r="J1163" s="50"/>
      <c r="K1163" s="50"/>
      <c r="L1163" s="50"/>
      <c r="M1163" s="50"/>
      <c r="N1163" s="50"/>
      <c r="O1163" s="50"/>
      <c r="P1163" s="50"/>
      <c r="Q1163" s="50"/>
      <c r="R1163" s="50"/>
      <c r="S1163" s="50"/>
      <c r="T1163" s="17"/>
      <c r="U1163" s="5"/>
      <c r="V1163" s="5"/>
      <c r="W1163" s="5"/>
      <c r="X1163" s="5"/>
      <c r="Y1163" s="5"/>
      <c r="Z1163" s="5"/>
      <c r="AA1163" s="5"/>
      <c r="AB1163" s="5"/>
      <c r="AC1163" s="5"/>
      <c r="AD1163" s="5"/>
      <c r="AE1163" s="5"/>
      <c r="AF1163" s="5"/>
      <c r="AG1163" s="5"/>
      <c r="AH1163" s="5"/>
      <c r="AI1163" s="5"/>
      <c r="AJ1163" s="5"/>
      <c r="AK1163" s="5"/>
      <c r="AL1163" s="5"/>
      <c r="AM1163" s="5"/>
      <c r="AN1163" s="5"/>
    </row>
    <row r="1164" spans="1:40" x14ac:dyDescent="0.35">
      <c r="A1164" s="5"/>
      <c r="B1164" s="1"/>
      <c r="C1164" s="1"/>
      <c r="D1164" s="1"/>
      <c r="E1164" s="50"/>
      <c r="F1164" s="50"/>
      <c r="G1164" s="50"/>
      <c r="H1164" s="50"/>
      <c r="I1164" s="50"/>
      <c r="J1164" s="50"/>
      <c r="K1164" s="50"/>
      <c r="L1164" s="50"/>
      <c r="M1164" s="50"/>
      <c r="N1164" s="50"/>
      <c r="O1164" s="50"/>
      <c r="P1164" s="50"/>
      <c r="Q1164" s="50"/>
      <c r="R1164" s="50"/>
      <c r="S1164" s="50"/>
      <c r="T1164" s="17"/>
      <c r="U1164" s="5"/>
      <c r="V1164" s="5"/>
      <c r="W1164" s="5"/>
      <c r="X1164" s="5"/>
      <c r="Y1164" s="5"/>
      <c r="Z1164" s="5"/>
      <c r="AA1164" s="5"/>
      <c r="AB1164" s="5"/>
      <c r="AC1164" s="5"/>
      <c r="AD1164" s="5"/>
      <c r="AE1164" s="5"/>
      <c r="AF1164" s="5"/>
      <c r="AG1164" s="5"/>
      <c r="AH1164" s="5"/>
      <c r="AI1164" s="5"/>
      <c r="AJ1164" s="5"/>
      <c r="AK1164" s="5"/>
      <c r="AL1164" s="5"/>
      <c r="AM1164" s="5"/>
      <c r="AN1164" s="5"/>
    </row>
    <row r="1165" spans="1:40" x14ac:dyDescent="0.35">
      <c r="A1165" s="5"/>
      <c r="B1165" s="1"/>
      <c r="C1165" s="1"/>
      <c r="D1165" s="1"/>
      <c r="E1165" s="50"/>
      <c r="F1165" s="50"/>
      <c r="G1165" s="50"/>
      <c r="H1165" s="50"/>
      <c r="I1165" s="50"/>
      <c r="J1165" s="50"/>
      <c r="K1165" s="50"/>
      <c r="L1165" s="50"/>
      <c r="M1165" s="50"/>
      <c r="N1165" s="50"/>
      <c r="O1165" s="50"/>
      <c r="P1165" s="50"/>
      <c r="Q1165" s="50"/>
      <c r="R1165" s="50"/>
      <c r="S1165" s="50"/>
      <c r="T1165" s="17"/>
      <c r="U1165" s="5"/>
      <c r="V1165" s="5"/>
      <c r="W1165" s="5"/>
      <c r="X1165" s="5"/>
      <c r="Y1165" s="5"/>
      <c r="Z1165" s="5"/>
      <c r="AA1165" s="5"/>
      <c r="AB1165" s="5"/>
      <c r="AC1165" s="5"/>
      <c r="AD1165" s="5"/>
      <c r="AE1165" s="5"/>
      <c r="AF1165" s="5"/>
      <c r="AG1165" s="5"/>
      <c r="AH1165" s="5"/>
      <c r="AI1165" s="5"/>
      <c r="AJ1165" s="5"/>
      <c r="AK1165" s="5"/>
      <c r="AL1165" s="5"/>
      <c r="AM1165" s="5"/>
      <c r="AN1165" s="5"/>
    </row>
    <row r="1166" spans="1:40" x14ac:dyDescent="0.35">
      <c r="A1166" s="5"/>
      <c r="B1166" s="1"/>
      <c r="C1166" s="1"/>
      <c r="D1166" s="1"/>
      <c r="E1166" s="50"/>
      <c r="F1166" s="50"/>
      <c r="G1166" s="50"/>
      <c r="H1166" s="50"/>
      <c r="I1166" s="50"/>
      <c r="J1166" s="50"/>
      <c r="K1166" s="50"/>
      <c r="L1166" s="50"/>
      <c r="M1166" s="50"/>
      <c r="N1166" s="50"/>
      <c r="O1166" s="50"/>
      <c r="P1166" s="50"/>
      <c r="Q1166" s="50"/>
      <c r="R1166" s="50"/>
      <c r="S1166" s="50"/>
      <c r="T1166" s="17"/>
      <c r="U1166" s="5"/>
      <c r="V1166" s="5"/>
      <c r="W1166" s="5"/>
      <c r="X1166" s="5"/>
      <c r="Y1166" s="5"/>
      <c r="Z1166" s="5"/>
      <c r="AA1166" s="5"/>
      <c r="AB1166" s="5"/>
      <c r="AC1166" s="5"/>
      <c r="AD1166" s="5"/>
      <c r="AE1166" s="5"/>
      <c r="AF1166" s="5"/>
      <c r="AG1166" s="5"/>
      <c r="AH1166" s="5"/>
      <c r="AI1166" s="5"/>
      <c r="AJ1166" s="5"/>
      <c r="AK1166" s="5"/>
      <c r="AL1166" s="5"/>
      <c r="AM1166" s="5"/>
      <c r="AN1166" s="5"/>
    </row>
    <row r="1167" spans="1:40" x14ac:dyDescent="0.35">
      <c r="A1167" s="5"/>
      <c r="B1167" s="1"/>
      <c r="C1167" s="1"/>
      <c r="D1167" s="1"/>
      <c r="E1167" s="50"/>
      <c r="F1167" s="50"/>
      <c r="G1167" s="50"/>
      <c r="H1167" s="50"/>
      <c r="I1167" s="50"/>
      <c r="J1167" s="50"/>
      <c r="K1167" s="50"/>
      <c r="L1167" s="50"/>
      <c r="M1167" s="50"/>
      <c r="N1167" s="50"/>
      <c r="O1167" s="50"/>
      <c r="P1167" s="50"/>
      <c r="Q1167" s="50"/>
      <c r="R1167" s="50"/>
      <c r="S1167" s="50"/>
      <c r="T1167" s="17"/>
      <c r="U1167" s="5"/>
      <c r="V1167" s="5"/>
      <c r="W1167" s="5"/>
      <c r="X1167" s="5"/>
      <c r="Y1167" s="5"/>
      <c r="Z1167" s="5"/>
      <c r="AA1167" s="5"/>
      <c r="AB1167" s="5"/>
      <c r="AC1167" s="5"/>
      <c r="AD1167" s="5"/>
      <c r="AE1167" s="5"/>
      <c r="AF1167" s="5"/>
      <c r="AG1167" s="5"/>
      <c r="AH1167" s="5"/>
      <c r="AI1167" s="5"/>
      <c r="AJ1167" s="5"/>
      <c r="AK1167" s="5"/>
      <c r="AL1167" s="5"/>
      <c r="AM1167" s="5"/>
      <c r="AN1167" s="5"/>
    </row>
    <row r="1168" spans="1:40" x14ac:dyDescent="0.35">
      <c r="A1168" s="5"/>
      <c r="B1168" s="1"/>
      <c r="C1168" s="1"/>
      <c r="D1168" s="1"/>
      <c r="E1168" s="50"/>
      <c r="F1168" s="50"/>
      <c r="G1168" s="50"/>
      <c r="H1168" s="50"/>
      <c r="I1168" s="50"/>
      <c r="J1168" s="50"/>
      <c r="K1168" s="50"/>
      <c r="L1168" s="50"/>
      <c r="M1168" s="50"/>
      <c r="N1168" s="50"/>
      <c r="O1168" s="50"/>
      <c r="P1168" s="50"/>
      <c r="Q1168" s="50"/>
      <c r="R1168" s="50"/>
      <c r="S1168" s="50"/>
      <c r="T1168" s="17"/>
      <c r="U1168" s="5"/>
      <c r="V1168" s="5"/>
      <c r="W1168" s="5"/>
      <c r="X1168" s="5"/>
      <c r="Y1168" s="5"/>
      <c r="Z1168" s="5"/>
      <c r="AA1168" s="5"/>
      <c r="AB1168" s="5"/>
      <c r="AC1168" s="5"/>
      <c r="AD1168" s="5"/>
      <c r="AE1168" s="5"/>
      <c r="AF1168" s="5"/>
      <c r="AG1168" s="5"/>
      <c r="AH1168" s="5"/>
      <c r="AI1168" s="5"/>
      <c r="AJ1168" s="5"/>
      <c r="AK1168" s="5"/>
      <c r="AL1168" s="5"/>
      <c r="AM1168" s="5"/>
      <c r="AN1168" s="5"/>
    </row>
    <row r="1169" spans="1:40" x14ac:dyDescent="0.35">
      <c r="A1169" s="5"/>
      <c r="B1169" s="1"/>
      <c r="C1169" s="1"/>
      <c r="D1169" s="1"/>
      <c r="E1169" s="50"/>
      <c r="F1169" s="50"/>
      <c r="G1169" s="50"/>
      <c r="H1169" s="50"/>
      <c r="I1169" s="50"/>
      <c r="J1169" s="50"/>
      <c r="K1169" s="50"/>
      <c r="L1169" s="50"/>
      <c r="M1169" s="50"/>
      <c r="N1169" s="50"/>
      <c r="O1169" s="50"/>
      <c r="P1169" s="50"/>
      <c r="Q1169" s="50"/>
      <c r="R1169" s="50"/>
      <c r="S1169" s="50"/>
      <c r="T1169" s="17"/>
      <c r="U1169" s="5"/>
      <c r="V1169" s="5"/>
      <c r="W1169" s="5"/>
      <c r="X1169" s="5"/>
      <c r="Y1169" s="5"/>
      <c r="Z1169" s="5"/>
      <c r="AA1169" s="5"/>
      <c r="AB1169" s="5"/>
      <c r="AC1169" s="5"/>
      <c r="AD1169" s="5"/>
      <c r="AE1169" s="5"/>
      <c r="AF1169" s="5"/>
      <c r="AG1169" s="5"/>
      <c r="AH1169" s="5"/>
      <c r="AI1169" s="5"/>
      <c r="AJ1169" s="5"/>
      <c r="AK1169" s="5"/>
      <c r="AL1169" s="5"/>
      <c r="AM1169" s="5"/>
      <c r="AN1169" s="5"/>
    </row>
    <row r="1170" spans="1:40" x14ac:dyDescent="0.35">
      <c r="A1170" s="5"/>
      <c r="B1170" s="1"/>
      <c r="C1170" s="1"/>
      <c r="D1170" s="1"/>
      <c r="E1170" s="50"/>
      <c r="F1170" s="50"/>
      <c r="G1170" s="50"/>
      <c r="H1170" s="50"/>
      <c r="I1170" s="50"/>
      <c r="J1170" s="50"/>
      <c r="K1170" s="50"/>
      <c r="L1170" s="50"/>
      <c r="M1170" s="50"/>
      <c r="N1170" s="50"/>
      <c r="O1170" s="50"/>
      <c r="P1170" s="50"/>
      <c r="Q1170" s="50"/>
      <c r="R1170" s="50"/>
      <c r="S1170" s="50"/>
      <c r="T1170" s="17"/>
      <c r="U1170" s="5"/>
      <c r="V1170" s="5"/>
      <c r="W1170" s="5"/>
      <c r="X1170" s="5"/>
      <c r="Y1170" s="5"/>
      <c r="Z1170" s="5"/>
      <c r="AA1170" s="5"/>
      <c r="AB1170" s="5"/>
      <c r="AC1170" s="5"/>
      <c r="AD1170" s="5"/>
      <c r="AE1170" s="5"/>
      <c r="AF1170" s="5"/>
      <c r="AG1170" s="5"/>
      <c r="AH1170" s="5"/>
      <c r="AI1170" s="5"/>
      <c r="AJ1170" s="5"/>
      <c r="AK1170" s="5"/>
      <c r="AL1170" s="5"/>
      <c r="AM1170" s="5"/>
      <c r="AN1170" s="5"/>
    </row>
    <row r="1171" spans="1:40" x14ac:dyDescent="0.35">
      <c r="A1171" s="5"/>
      <c r="B1171" s="1"/>
      <c r="C1171" s="1"/>
      <c r="D1171" s="1"/>
      <c r="E1171" s="50"/>
      <c r="F1171" s="50"/>
      <c r="G1171" s="50"/>
      <c r="H1171" s="50"/>
      <c r="I1171" s="50"/>
      <c r="J1171" s="50"/>
      <c r="K1171" s="50"/>
      <c r="L1171" s="50"/>
      <c r="M1171" s="50"/>
      <c r="N1171" s="50"/>
      <c r="O1171" s="50"/>
      <c r="P1171" s="50"/>
      <c r="Q1171" s="50"/>
      <c r="R1171" s="50"/>
      <c r="S1171" s="50"/>
      <c r="T1171" s="17"/>
      <c r="U1171" s="5"/>
      <c r="V1171" s="5"/>
      <c r="W1171" s="5"/>
      <c r="X1171" s="5"/>
      <c r="Y1171" s="5"/>
      <c r="Z1171" s="5"/>
      <c r="AA1171" s="5"/>
      <c r="AB1171" s="5"/>
      <c r="AC1171" s="5"/>
      <c r="AD1171" s="5"/>
      <c r="AE1171" s="5"/>
      <c r="AF1171" s="5"/>
      <c r="AG1171" s="5"/>
      <c r="AH1171" s="5"/>
      <c r="AI1171" s="5"/>
      <c r="AJ1171" s="5"/>
      <c r="AK1171" s="5"/>
      <c r="AL1171" s="5"/>
      <c r="AM1171" s="5"/>
      <c r="AN1171" s="5"/>
    </row>
    <row r="1172" spans="1:40" x14ac:dyDescent="0.35">
      <c r="A1172" s="5"/>
      <c r="B1172" s="1"/>
      <c r="C1172" s="1"/>
      <c r="D1172" s="1"/>
      <c r="E1172" s="50"/>
      <c r="F1172" s="50"/>
      <c r="G1172" s="50"/>
      <c r="H1172" s="50"/>
      <c r="I1172" s="50"/>
      <c r="J1172" s="50"/>
      <c r="K1172" s="50"/>
      <c r="L1172" s="50"/>
      <c r="M1172" s="50"/>
      <c r="N1172" s="50"/>
      <c r="O1172" s="50"/>
      <c r="P1172" s="50"/>
      <c r="Q1172" s="50"/>
      <c r="R1172" s="50"/>
      <c r="S1172" s="50"/>
      <c r="T1172" s="17"/>
      <c r="U1172" s="5"/>
      <c r="V1172" s="5"/>
      <c r="W1172" s="5"/>
      <c r="X1172" s="5"/>
      <c r="Y1172" s="5"/>
      <c r="Z1172" s="5"/>
      <c r="AA1172" s="5"/>
      <c r="AB1172" s="5"/>
      <c r="AC1172" s="5"/>
      <c r="AD1172" s="5"/>
      <c r="AE1172" s="5"/>
      <c r="AF1172" s="5"/>
      <c r="AG1172" s="5"/>
      <c r="AH1172" s="5"/>
      <c r="AI1172" s="5"/>
      <c r="AJ1172" s="5"/>
      <c r="AK1172" s="5"/>
      <c r="AL1172" s="5"/>
      <c r="AM1172" s="5"/>
      <c r="AN1172" s="5"/>
    </row>
    <row r="1173" spans="1:40" x14ac:dyDescent="0.35">
      <c r="A1173" s="5"/>
      <c r="B1173" s="1"/>
      <c r="C1173" s="1"/>
      <c r="D1173" s="1"/>
      <c r="E1173" s="50"/>
      <c r="F1173" s="50"/>
      <c r="G1173" s="50"/>
      <c r="H1173" s="50"/>
      <c r="I1173" s="50"/>
      <c r="J1173" s="50"/>
      <c r="K1173" s="50"/>
      <c r="L1173" s="50"/>
      <c r="M1173" s="50"/>
      <c r="N1173" s="50"/>
      <c r="O1173" s="50"/>
      <c r="P1173" s="50"/>
      <c r="Q1173" s="50"/>
      <c r="R1173" s="50"/>
      <c r="S1173" s="50"/>
      <c r="T1173" s="17"/>
      <c r="U1173" s="5"/>
      <c r="V1173" s="5"/>
      <c r="W1173" s="5"/>
      <c r="X1173" s="5"/>
      <c r="Y1173" s="5"/>
      <c r="Z1173" s="5"/>
      <c r="AA1173" s="5"/>
      <c r="AB1173" s="5"/>
      <c r="AC1173" s="5"/>
      <c r="AD1173" s="5"/>
      <c r="AE1173" s="5"/>
      <c r="AF1173" s="5"/>
      <c r="AG1173" s="5"/>
      <c r="AH1173" s="5"/>
      <c r="AI1173" s="5"/>
      <c r="AJ1173" s="5"/>
      <c r="AK1173" s="5"/>
      <c r="AL1173" s="5"/>
      <c r="AM1173" s="5"/>
      <c r="AN1173" s="5"/>
    </row>
    <row r="1174" spans="1:40" x14ac:dyDescent="0.35">
      <c r="A1174" s="5"/>
      <c r="B1174" s="1"/>
      <c r="C1174" s="1"/>
      <c r="D1174" s="1"/>
      <c r="E1174" s="50"/>
      <c r="F1174" s="50"/>
      <c r="G1174" s="50"/>
      <c r="H1174" s="50"/>
      <c r="I1174" s="50"/>
      <c r="J1174" s="50"/>
      <c r="K1174" s="50"/>
      <c r="L1174" s="50"/>
      <c r="M1174" s="50"/>
      <c r="N1174" s="50"/>
      <c r="O1174" s="50"/>
      <c r="P1174" s="50"/>
      <c r="Q1174" s="50"/>
      <c r="R1174" s="50"/>
      <c r="S1174" s="50"/>
      <c r="T1174" s="17"/>
      <c r="U1174" s="5"/>
      <c r="V1174" s="5"/>
      <c r="W1174" s="5"/>
      <c r="X1174" s="5"/>
      <c r="Y1174" s="5"/>
      <c r="Z1174" s="5"/>
      <c r="AA1174" s="5"/>
      <c r="AB1174" s="5"/>
      <c r="AC1174" s="5"/>
      <c r="AD1174" s="5"/>
      <c r="AE1174" s="5"/>
      <c r="AF1174" s="5"/>
      <c r="AG1174" s="5"/>
      <c r="AH1174" s="5"/>
      <c r="AI1174" s="5"/>
      <c r="AJ1174" s="5"/>
      <c r="AK1174" s="5"/>
      <c r="AL1174" s="5"/>
      <c r="AM1174" s="5"/>
      <c r="AN1174" s="5"/>
    </row>
    <row r="1175" spans="1:40" x14ac:dyDescent="0.35">
      <c r="A1175" s="5"/>
      <c r="B1175" s="1"/>
      <c r="C1175" s="1"/>
      <c r="D1175" s="1"/>
      <c r="E1175" s="50"/>
      <c r="F1175" s="50"/>
      <c r="G1175" s="50"/>
      <c r="H1175" s="50"/>
      <c r="I1175" s="50"/>
      <c r="J1175" s="50"/>
      <c r="K1175" s="50"/>
      <c r="L1175" s="50"/>
      <c r="M1175" s="50"/>
      <c r="N1175" s="50"/>
      <c r="O1175" s="50"/>
      <c r="P1175" s="50"/>
      <c r="Q1175" s="50"/>
      <c r="R1175" s="50"/>
      <c r="S1175" s="50"/>
      <c r="T1175" s="17"/>
      <c r="U1175" s="5"/>
      <c r="V1175" s="5"/>
      <c r="W1175" s="5"/>
      <c r="X1175" s="5"/>
      <c r="Y1175" s="5"/>
      <c r="Z1175" s="5"/>
      <c r="AA1175" s="5"/>
      <c r="AB1175" s="5"/>
      <c r="AC1175" s="5"/>
      <c r="AD1175" s="5"/>
      <c r="AE1175" s="5"/>
      <c r="AF1175" s="5"/>
      <c r="AG1175" s="5"/>
      <c r="AH1175" s="5"/>
      <c r="AI1175" s="5"/>
      <c r="AJ1175" s="5"/>
      <c r="AK1175" s="5"/>
      <c r="AL1175" s="5"/>
      <c r="AM1175" s="5"/>
      <c r="AN1175" s="5"/>
    </row>
    <row r="1176" spans="1:40" x14ac:dyDescent="0.35">
      <c r="A1176" s="5"/>
      <c r="B1176" s="1"/>
      <c r="C1176" s="1"/>
      <c r="D1176" s="1"/>
      <c r="E1176" s="50"/>
      <c r="F1176" s="50"/>
      <c r="G1176" s="50"/>
      <c r="H1176" s="50"/>
      <c r="I1176" s="50"/>
      <c r="J1176" s="50"/>
      <c r="K1176" s="50"/>
      <c r="L1176" s="50"/>
      <c r="M1176" s="50"/>
      <c r="N1176" s="50"/>
      <c r="O1176" s="50"/>
      <c r="P1176" s="50"/>
      <c r="Q1176" s="50"/>
      <c r="R1176" s="50"/>
      <c r="S1176" s="50"/>
      <c r="T1176" s="17"/>
      <c r="U1176" s="5"/>
      <c r="V1176" s="5"/>
      <c r="W1176" s="5"/>
      <c r="X1176" s="5"/>
      <c r="Y1176" s="5"/>
      <c r="Z1176" s="5"/>
      <c r="AA1176" s="5"/>
      <c r="AB1176" s="5"/>
      <c r="AC1176" s="5"/>
      <c r="AD1176" s="5"/>
      <c r="AE1176" s="5"/>
      <c r="AF1176" s="5"/>
      <c r="AG1176" s="5"/>
      <c r="AH1176" s="5"/>
      <c r="AI1176" s="5"/>
      <c r="AJ1176" s="5"/>
      <c r="AK1176" s="5"/>
      <c r="AL1176" s="5"/>
      <c r="AM1176" s="5"/>
      <c r="AN1176" s="5"/>
    </row>
    <row r="1177" spans="1:40" x14ac:dyDescent="0.35">
      <c r="A1177" s="5"/>
      <c r="B1177" s="1"/>
      <c r="C1177" s="1"/>
      <c r="D1177" s="1"/>
      <c r="E1177" s="50"/>
      <c r="F1177" s="50"/>
      <c r="G1177" s="50"/>
      <c r="H1177" s="50"/>
      <c r="I1177" s="50"/>
      <c r="J1177" s="50"/>
      <c r="K1177" s="50"/>
      <c r="L1177" s="50"/>
      <c r="M1177" s="50"/>
      <c r="N1177" s="50"/>
      <c r="O1177" s="50"/>
      <c r="P1177" s="50"/>
      <c r="Q1177" s="50"/>
      <c r="R1177" s="50"/>
      <c r="S1177" s="50"/>
      <c r="T1177" s="17"/>
      <c r="U1177" s="5"/>
      <c r="V1177" s="5"/>
      <c r="W1177" s="5"/>
      <c r="X1177" s="5"/>
      <c r="Y1177" s="5"/>
      <c r="Z1177" s="5"/>
      <c r="AA1177" s="5"/>
      <c r="AB1177" s="5"/>
      <c r="AC1177" s="5"/>
      <c r="AD1177" s="5"/>
      <c r="AE1177" s="5"/>
      <c r="AF1177" s="5"/>
      <c r="AG1177" s="5"/>
      <c r="AH1177" s="5"/>
      <c r="AI1177" s="5"/>
      <c r="AJ1177" s="5"/>
      <c r="AK1177" s="5"/>
      <c r="AL1177" s="5"/>
      <c r="AM1177" s="5"/>
      <c r="AN1177" s="5"/>
    </row>
    <row r="1178" spans="1:40" x14ac:dyDescent="0.35">
      <c r="A1178" s="5"/>
      <c r="B1178" s="1"/>
      <c r="C1178" s="1"/>
      <c r="D1178" s="1"/>
      <c r="E1178" s="50"/>
      <c r="F1178" s="50"/>
      <c r="G1178" s="50"/>
      <c r="H1178" s="50"/>
      <c r="I1178" s="50"/>
      <c r="J1178" s="50"/>
      <c r="K1178" s="50"/>
      <c r="L1178" s="50"/>
      <c r="M1178" s="50"/>
      <c r="N1178" s="50"/>
      <c r="O1178" s="50"/>
      <c r="P1178" s="50"/>
      <c r="Q1178" s="50"/>
      <c r="R1178" s="50"/>
      <c r="S1178" s="50"/>
      <c r="T1178" s="17"/>
      <c r="U1178" s="5"/>
      <c r="V1178" s="5"/>
      <c r="W1178" s="5"/>
      <c r="X1178" s="5"/>
      <c r="Y1178" s="5"/>
      <c r="Z1178" s="5"/>
      <c r="AA1178" s="5"/>
      <c r="AB1178" s="5"/>
      <c r="AC1178" s="5"/>
      <c r="AD1178" s="5"/>
      <c r="AE1178" s="5"/>
      <c r="AF1178" s="5"/>
      <c r="AG1178" s="5"/>
      <c r="AH1178" s="5"/>
      <c r="AI1178" s="5"/>
      <c r="AJ1178" s="5"/>
      <c r="AK1178" s="5"/>
      <c r="AL1178" s="5"/>
      <c r="AM1178" s="5"/>
      <c r="AN1178" s="5"/>
    </row>
    <row r="1179" spans="1:40" x14ac:dyDescent="0.35">
      <c r="A1179" s="5"/>
      <c r="B1179" s="1"/>
      <c r="C1179" s="1"/>
      <c r="D1179" s="1"/>
      <c r="E1179" s="50"/>
      <c r="F1179" s="50"/>
      <c r="G1179" s="50"/>
      <c r="H1179" s="50"/>
      <c r="I1179" s="50"/>
      <c r="J1179" s="50"/>
      <c r="K1179" s="50"/>
      <c r="L1179" s="50"/>
      <c r="M1179" s="50"/>
      <c r="N1179" s="50"/>
      <c r="O1179" s="50"/>
      <c r="P1179" s="50"/>
      <c r="Q1179" s="50"/>
      <c r="R1179" s="50"/>
      <c r="S1179" s="50"/>
      <c r="T1179" s="17"/>
      <c r="U1179" s="5"/>
      <c r="V1179" s="5"/>
      <c r="W1179" s="5"/>
      <c r="X1179" s="5"/>
      <c r="Y1179" s="5"/>
      <c r="Z1179" s="5"/>
      <c r="AA1179" s="5"/>
      <c r="AB1179" s="5"/>
      <c r="AC1179" s="5"/>
      <c r="AD1179" s="5"/>
      <c r="AE1179" s="5"/>
      <c r="AF1179" s="5"/>
      <c r="AG1179" s="5"/>
      <c r="AH1179" s="5"/>
      <c r="AI1179" s="5"/>
      <c r="AJ1179" s="5"/>
      <c r="AK1179" s="5"/>
      <c r="AL1179" s="5"/>
      <c r="AM1179" s="5"/>
      <c r="AN1179" s="5"/>
    </row>
    <row r="1180" spans="1:40" x14ac:dyDescent="0.35">
      <c r="A1180" s="5"/>
      <c r="B1180" s="1"/>
      <c r="C1180" s="1"/>
      <c r="D1180" s="1"/>
      <c r="E1180" s="50"/>
      <c r="F1180" s="50"/>
      <c r="G1180" s="50"/>
      <c r="H1180" s="50"/>
      <c r="I1180" s="50"/>
      <c r="J1180" s="50"/>
      <c r="K1180" s="50"/>
      <c r="L1180" s="50"/>
      <c r="M1180" s="50"/>
      <c r="N1180" s="50"/>
      <c r="O1180" s="50"/>
      <c r="P1180" s="50"/>
      <c r="Q1180" s="50"/>
      <c r="R1180" s="50"/>
      <c r="S1180" s="50"/>
      <c r="T1180" s="17"/>
      <c r="U1180" s="5"/>
      <c r="V1180" s="5"/>
      <c r="W1180" s="5"/>
      <c r="X1180" s="5"/>
      <c r="Y1180" s="5"/>
      <c r="Z1180" s="5"/>
      <c r="AA1180" s="5"/>
      <c r="AB1180" s="5"/>
      <c r="AC1180" s="5"/>
      <c r="AD1180" s="5"/>
      <c r="AE1180" s="5"/>
      <c r="AF1180" s="5"/>
      <c r="AG1180" s="5"/>
      <c r="AH1180" s="5"/>
      <c r="AI1180" s="5"/>
      <c r="AJ1180" s="5"/>
      <c r="AK1180" s="5"/>
      <c r="AL1180" s="5"/>
      <c r="AM1180" s="5"/>
      <c r="AN1180" s="5"/>
    </row>
    <row r="1181" spans="1:40" x14ac:dyDescent="0.35">
      <c r="A1181" s="5"/>
      <c r="B1181" s="1"/>
      <c r="C1181" s="1"/>
      <c r="D1181" s="1"/>
      <c r="E1181" s="50"/>
      <c r="F1181" s="50"/>
      <c r="G1181" s="50"/>
      <c r="H1181" s="50"/>
      <c r="I1181" s="50"/>
      <c r="J1181" s="50"/>
      <c r="K1181" s="50"/>
      <c r="L1181" s="50"/>
      <c r="M1181" s="50"/>
      <c r="N1181" s="50"/>
      <c r="O1181" s="50"/>
      <c r="P1181" s="50"/>
      <c r="Q1181" s="50"/>
      <c r="R1181" s="50"/>
      <c r="S1181" s="50"/>
      <c r="T1181" s="17"/>
      <c r="U1181" s="5"/>
      <c r="V1181" s="5"/>
      <c r="W1181" s="5"/>
      <c r="X1181" s="5"/>
      <c r="Y1181" s="5"/>
      <c r="Z1181" s="5"/>
      <c r="AA1181" s="5"/>
      <c r="AB1181" s="5"/>
      <c r="AC1181" s="5"/>
      <c r="AD1181" s="5"/>
      <c r="AE1181" s="5"/>
      <c r="AF1181" s="5"/>
      <c r="AG1181" s="5"/>
      <c r="AH1181" s="5"/>
      <c r="AI1181" s="5"/>
      <c r="AJ1181" s="5"/>
      <c r="AK1181" s="5"/>
      <c r="AL1181" s="5"/>
      <c r="AM1181" s="5"/>
      <c r="AN1181" s="5"/>
    </row>
    <row r="1182" spans="1:40" x14ac:dyDescent="0.35">
      <c r="A1182" s="5"/>
      <c r="B1182" s="1"/>
      <c r="C1182" s="1"/>
      <c r="D1182" s="1"/>
      <c r="E1182" s="50"/>
      <c r="F1182" s="50"/>
      <c r="G1182" s="50"/>
      <c r="H1182" s="50"/>
      <c r="I1182" s="50"/>
      <c r="J1182" s="50"/>
      <c r="K1182" s="50"/>
      <c r="L1182" s="50"/>
      <c r="M1182" s="50"/>
      <c r="N1182" s="50"/>
      <c r="O1182" s="50"/>
      <c r="P1182" s="50"/>
      <c r="Q1182" s="50"/>
      <c r="R1182" s="50"/>
      <c r="S1182" s="50"/>
      <c r="T1182" s="17"/>
      <c r="U1182" s="5"/>
      <c r="V1182" s="5"/>
      <c r="W1182" s="5"/>
      <c r="X1182" s="5"/>
      <c r="Y1182" s="5"/>
      <c r="Z1182" s="5"/>
      <c r="AA1182" s="5"/>
      <c r="AB1182" s="5"/>
      <c r="AC1182" s="5"/>
      <c r="AD1182" s="5"/>
      <c r="AE1182" s="5"/>
      <c r="AF1182" s="5"/>
      <c r="AG1182" s="5"/>
      <c r="AH1182" s="5"/>
      <c r="AI1182" s="5"/>
      <c r="AJ1182" s="5"/>
      <c r="AK1182" s="5"/>
      <c r="AL1182" s="5"/>
      <c r="AM1182" s="5"/>
      <c r="AN1182" s="5"/>
    </row>
    <row r="1183" spans="1:40" x14ac:dyDescent="0.35">
      <c r="A1183" s="5"/>
      <c r="B1183" s="1"/>
      <c r="C1183" s="1"/>
      <c r="D1183" s="1"/>
      <c r="E1183" s="50"/>
      <c r="F1183" s="50"/>
      <c r="G1183" s="50"/>
      <c r="H1183" s="50"/>
      <c r="I1183" s="50"/>
      <c r="J1183" s="50"/>
      <c r="K1183" s="50"/>
      <c r="L1183" s="50"/>
      <c r="M1183" s="50"/>
      <c r="N1183" s="50"/>
      <c r="O1183" s="50"/>
      <c r="P1183" s="50"/>
      <c r="Q1183" s="50"/>
      <c r="R1183" s="50"/>
      <c r="S1183" s="50"/>
      <c r="T1183" s="17"/>
      <c r="U1183" s="5"/>
      <c r="V1183" s="5"/>
      <c r="W1183" s="5"/>
      <c r="X1183" s="5"/>
      <c r="Y1183" s="5"/>
      <c r="Z1183" s="5"/>
      <c r="AA1183" s="5"/>
      <c r="AB1183" s="5"/>
      <c r="AC1183" s="5"/>
      <c r="AD1183" s="5"/>
      <c r="AE1183" s="5"/>
      <c r="AF1183" s="5"/>
      <c r="AG1183" s="5"/>
      <c r="AH1183" s="5"/>
      <c r="AI1183" s="5"/>
      <c r="AJ1183" s="5"/>
      <c r="AK1183" s="5"/>
      <c r="AL1183" s="5"/>
      <c r="AM1183" s="5"/>
      <c r="AN1183" s="5"/>
    </row>
    <row r="1184" spans="1:40" x14ac:dyDescent="0.35">
      <c r="A1184" s="5"/>
      <c r="B1184" s="1"/>
      <c r="C1184" s="1"/>
      <c r="D1184" s="1"/>
      <c r="E1184" s="50"/>
      <c r="F1184" s="50"/>
      <c r="G1184" s="50"/>
      <c r="H1184" s="50"/>
      <c r="I1184" s="50"/>
      <c r="J1184" s="50"/>
      <c r="K1184" s="50"/>
      <c r="L1184" s="50"/>
      <c r="M1184" s="50"/>
      <c r="N1184" s="50"/>
      <c r="O1184" s="50"/>
      <c r="P1184" s="50"/>
      <c r="Q1184" s="50"/>
      <c r="R1184" s="50"/>
      <c r="S1184" s="50"/>
      <c r="T1184" s="17"/>
      <c r="U1184" s="5"/>
      <c r="V1184" s="5"/>
      <c r="W1184" s="5"/>
      <c r="X1184" s="5"/>
      <c r="Y1184" s="5"/>
      <c r="Z1184" s="5"/>
      <c r="AA1184" s="5"/>
      <c r="AB1184" s="5"/>
      <c r="AC1184" s="5"/>
      <c r="AD1184" s="5"/>
      <c r="AE1184" s="5"/>
      <c r="AF1184" s="5"/>
      <c r="AG1184" s="5"/>
      <c r="AH1184" s="5"/>
      <c r="AI1184" s="5"/>
      <c r="AJ1184" s="5"/>
      <c r="AK1184" s="5"/>
      <c r="AL1184" s="5"/>
      <c r="AM1184" s="5"/>
      <c r="AN1184" s="5"/>
    </row>
    <row r="1185" spans="1:40" x14ac:dyDescent="0.35">
      <c r="A1185" s="5"/>
      <c r="B1185" s="1"/>
      <c r="C1185" s="1"/>
      <c r="D1185" s="1"/>
      <c r="E1185" s="50"/>
      <c r="F1185" s="50"/>
      <c r="G1185" s="50"/>
      <c r="H1185" s="50"/>
      <c r="I1185" s="50"/>
      <c r="J1185" s="50"/>
      <c r="K1185" s="50"/>
      <c r="L1185" s="50"/>
      <c r="M1185" s="50"/>
      <c r="N1185" s="50"/>
      <c r="O1185" s="50"/>
      <c r="P1185" s="50"/>
      <c r="Q1185" s="50"/>
      <c r="R1185" s="50"/>
      <c r="S1185" s="50"/>
      <c r="T1185" s="17"/>
      <c r="U1185" s="5"/>
      <c r="V1185" s="5"/>
      <c r="W1185" s="5"/>
      <c r="X1185" s="5"/>
      <c r="Y1185" s="5"/>
      <c r="Z1185" s="5"/>
      <c r="AA1185" s="5"/>
      <c r="AB1185" s="5"/>
      <c r="AC1185" s="5"/>
      <c r="AD1185" s="5"/>
      <c r="AE1185" s="5"/>
      <c r="AF1185" s="5"/>
      <c r="AG1185" s="5"/>
      <c r="AH1185" s="5"/>
      <c r="AI1185" s="5"/>
      <c r="AJ1185" s="5"/>
      <c r="AK1185" s="5"/>
      <c r="AL1185" s="5"/>
      <c r="AM1185" s="5"/>
      <c r="AN1185" s="5"/>
    </row>
    <row r="1186" spans="1:40" x14ac:dyDescent="0.35">
      <c r="A1186" s="5"/>
      <c r="B1186" s="1"/>
      <c r="C1186" s="1"/>
      <c r="D1186" s="1"/>
      <c r="E1186" s="50"/>
      <c r="F1186" s="50"/>
      <c r="G1186" s="50"/>
      <c r="H1186" s="50"/>
      <c r="I1186" s="50"/>
      <c r="J1186" s="50"/>
      <c r="K1186" s="50"/>
      <c r="L1186" s="50"/>
      <c r="M1186" s="50"/>
      <c r="N1186" s="50"/>
      <c r="O1186" s="50"/>
      <c r="P1186" s="50"/>
      <c r="Q1186" s="50"/>
      <c r="R1186" s="50"/>
      <c r="S1186" s="50"/>
      <c r="T1186" s="17"/>
      <c r="U1186" s="5"/>
      <c r="V1186" s="5"/>
      <c r="W1186" s="5"/>
      <c r="X1186" s="5"/>
      <c r="Y1186" s="5"/>
      <c r="Z1186" s="5"/>
      <c r="AA1186" s="5"/>
      <c r="AB1186" s="5"/>
      <c r="AC1186" s="5"/>
      <c r="AD1186" s="5"/>
      <c r="AE1186" s="5"/>
      <c r="AF1186" s="5"/>
      <c r="AG1186" s="5"/>
      <c r="AH1186" s="5"/>
      <c r="AI1186" s="5"/>
      <c r="AJ1186" s="5"/>
      <c r="AK1186" s="5"/>
      <c r="AL1186" s="5"/>
      <c r="AM1186" s="5"/>
      <c r="AN1186" s="5"/>
    </row>
    <row r="1187" spans="1:40" x14ac:dyDescent="0.35">
      <c r="A1187" s="5"/>
      <c r="B1187" s="1"/>
      <c r="C1187" s="1"/>
      <c r="D1187" s="1"/>
      <c r="E1187" s="50"/>
      <c r="F1187" s="50"/>
      <c r="G1187" s="50"/>
      <c r="H1187" s="50"/>
      <c r="I1187" s="50"/>
      <c r="J1187" s="50"/>
      <c r="K1187" s="50"/>
      <c r="L1187" s="50"/>
      <c r="M1187" s="50"/>
      <c r="N1187" s="50"/>
      <c r="O1187" s="50"/>
      <c r="P1187" s="50"/>
      <c r="Q1187" s="50"/>
      <c r="R1187" s="50"/>
      <c r="S1187" s="50"/>
      <c r="T1187" s="17"/>
      <c r="U1187" s="5"/>
      <c r="V1187" s="5"/>
      <c r="W1187" s="5"/>
      <c r="X1187" s="5"/>
      <c r="Y1187" s="5"/>
      <c r="Z1187" s="5"/>
      <c r="AA1187" s="5"/>
      <c r="AB1187" s="5"/>
      <c r="AC1187" s="5"/>
      <c r="AD1187" s="5"/>
      <c r="AE1187" s="5"/>
      <c r="AF1187" s="5"/>
      <c r="AG1187" s="5"/>
      <c r="AH1187" s="5"/>
      <c r="AI1187" s="5"/>
      <c r="AJ1187" s="5"/>
      <c r="AK1187" s="5"/>
      <c r="AL1187" s="5"/>
      <c r="AM1187" s="5"/>
      <c r="AN1187" s="5"/>
    </row>
    <row r="1188" spans="1:40" x14ac:dyDescent="0.35">
      <c r="A1188" s="5"/>
      <c r="B1188" s="1"/>
      <c r="C1188" s="1"/>
      <c r="D1188" s="1"/>
      <c r="E1188" s="50"/>
      <c r="F1188" s="50"/>
      <c r="G1188" s="50"/>
      <c r="H1188" s="50"/>
      <c r="I1188" s="50"/>
      <c r="J1188" s="50"/>
      <c r="K1188" s="50"/>
      <c r="L1188" s="50"/>
      <c r="M1188" s="50"/>
      <c r="N1188" s="50"/>
      <c r="O1188" s="50"/>
      <c r="P1188" s="50"/>
      <c r="Q1188" s="50"/>
      <c r="R1188" s="50"/>
      <c r="S1188" s="50"/>
      <c r="T1188" s="17"/>
      <c r="U1188" s="5"/>
      <c r="V1188" s="5"/>
      <c r="W1188" s="5"/>
      <c r="X1188" s="5"/>
      <c r="Y1188" s="5"/>
      <c r="Z1188" s="5"/>
      <c r="AA1188" s="5"/>
      <c r="AB1188" s="5"/>
      <c r="AC1188" s="5"/>
      <c r="AD1188" s="5"/>
      <c r="AE1188" s="5"/>
      <c r="AF1188" s="5"/>
      <c r="AG1188" s="5"/>
      <c r="AH1188" s="5"/>
      <c r="AI1188" s="5"/>
      <c r="AJ1188" s="5"/>
      <c r="AK1188" s="5"/>
      <c r="AL1188" s="5"/>
      <c r="AM1188" s="5"/>
      <c r="AN1188" s="5"/>
    </row>
    <row r="1189" spans="1:40" x14ac:dyDescent="0.35">
      <c r="A1189" s="5"/>
      <c r="B1189" s="1"/>
      <c r="C1189" s="1"/>
      <c r="D1189" s="1"/>
      <c r="E1189" s="50"/>
      <c r="F1189" s="50"/>
      <c r="G1189" s="50"/>
      <c r="H1189" s="50"/>
      <c r="I1189" s="50"/>
      <c r="J1189" s="50"/>
      <c r="K1189" s="50"/>
      <c r="L1189" s="50"/>
      <c r="M1189" s="50"/>
      <c r="N1189" s="50"/>
      <c r="O1189" s="50"/>
      <c r="P1189" s="50"/>
      <c r="Q1189" s="50"/>
      <c r="R1189" s="50"/>
      <c r="S1189" s="50"/>
      <c r="T1189" s="17"/>
      <c r="U1189" s="5"/>
      <c r="V1189" s="5"/>
      <c r="W1189" s="5"/>
      <c r="X1189" s="5"/>
      <c r="Y1189" s="5"/>
      <c r="Z1189" s="5"/>
      <c r="AA1189" s="5"/>
      <c r="AB1189" s="5"/>
      <c r="AC1189" s="5"/>
      <c r="AD1189" s="5"/>
      <c r="AE1189" s="5"/>
      <c r="AF1189" s="5"/>
      <c r="AG1189" s="5"/>
      <c r="AH1189" s="5"/>
      <c r="AI1189" s="5"/>
      <c r="AJ1189" s="5"/>
      <c r="AK1189" s="5"/>
      <c r="AL1189" s="5"/>
      <c r="AM1189" s="5"/>
      <c r="AN1189" s="5"/>
    </row>
    <row r="1190" spans="1:40" x14ac:dyDescent="0.35">
      <c r="A1190" s="5"/>
      <c r="B1190" s="1"/>
      <c r="C1190" s="1"/>
      <c r="D1190" s="1"/>
      <c r="E1190" s="50"/>
      <c r="F1190" s="50"/>
      <c r="G1190" s="50"/>
      <c r="H1190" s="50"/>
      <c r="I1190" s="50"/>
      <c r="J1190" s="50"/>
      <c r="K1190" s="50"/>
      <c r="L1190" s="50"/>
      <c r="M1190" s="50"/>
      <c r="N1190" s="50"/>
      <c r="O1190" s="50"/>
      <c r="P1190" s="50"/>
      <c r="Q1190" s="50"/>
      <c r="R1190" s="50"/>
      <c r="S1190" s="50"/>
      <c r="T1190" s="17"/>
      <c r="U1190" s="5"/>
      <c r="V1190" s="5"/>
      <c r="W1190" s="5"/>
      <c r="X1190" s="5"/>
      <c r="Y1190" s="5"/>
      <c r="Z1190" s="5"/>
      <c r="AA1190" s="5"/>
      <c r="AB1190" s="5"/>
      <c r="AC1190" s="5"/>
      <c r="AD1190" s="5"/>
      <c r="AE1190" s="5"/>
      <c r="AF1190" s="5"/>
      <c r="AG1190" s="5"/>
      <c r="AH1190" s="5"/>
      <c r="AI1190" s="5"/>
      <c r="AJ1190" s="5"/>
      <c r="AK1190" s="5"/>
      <c r="AL1190" s="5"/>
      <c r="AM1190" s="5"/>
      <c r="AN1190" s="5"/>
    </row>
    <row r="1191" spans="1:40" x14ac:dyDescent="0.35">
      <c r="A1191" s="5"/>
      <c r="B1191" s="1"/>
      <c r="C1191" s="1"/>
      <c r="D1191" s="1"/>
      <c r="E1191" s="50"/>
      <c r="F1191" s="50"/>
      <c r="G1191" s="50"/>
      <c r="H1191" s="50"/>
      <c r="I1191" s="50"/>
      <c r="J1191" s="50"/>
      <c r="K1191" s="50"/>
      <c r="L1191" s="50"/>
      <c r="M1191" s="50"/>
      <c r="N1191" s="50"/>
      <c r="O1191" s="50"/>
      <c r="P1191" s="50"/>
      <c r="Q1191" s="50"/>
      <c r="R1191" s="50"/>
      <c r="S1191" s="50"/>
      <c r="T1191" s="17"/>
      <c r="U1191" s="5"/>
      <c r="V1191" s="5"/>
      <c r="W1191" s="5"/>
      <c r="X1191" s="5"/>
      <c r="Y1191" s="5"/>
      <c r="Z1191" s="5"/>
      <c r="AA1191" s="5"/>
      <c r="AB1191" s="5"/>
      <c r="AC1191" s="5"/>
      <c r="AD1191" s="5"/>
      <c r="AE1191" s="5"/>
      <c r="AF1191" s="5"/>
      <c r="AG1191" s="5"/>
      <c r="AH1191" s="5"/>
      <c r="AI1191" s="5"/>
      <c r="AJ1191" s="5"/>
      <c r="AK1191" s="5"/>
      <c r="AL1191" s="5"/>
      <c r="AM1191" s="5"/>
      <c r="AN1191" s="5"/>
    </row>
    <row r="1192" spans="1:40" x14ac:dyDescent="0.35">
      <c r="A1192" s="5"/>
      <c r="B1192" s="1"/>
      <c r="C1192" s="1"/>
      <c r="D1192" s="1"/>
      <c r="E1192" s="50"/>
      <c r="F1192" s="50"/>
      <c r="G1192" s="50"/>
      <c r="H1192" s="50"/>
      <c r="I1192" s="50"/>
      <c r="J1192" s="50"/>
      <c r="K1192" s="50"/>
      <c r="L1192" s="50"/>
      <c r="M1192" s="50"/>
      <c r="N1192" s="50"/>
      <c r="O1192" s="50"/>
      <c r="P1192" s="50"/>
      <c r="Q1192" s="50"/>
      <c r="R1192" s="50"/>
      <c r="S1192" s="50"/>
      <c r="T1192" s="17"/>
      <c r="U1192" s="5"/>
      <c r="V1192" s="5"/>
      <c r="W1192" s="5"/>
      <c r="X1192" s="5"/>
      <c r="Y1192" s="5"/>
      <c r="Z1192" s="5"/>
      <c r="AA1192" s="5"/>
      <c r="AB1192" s="5"/>
      <c r="AC1192" s="5"/>
      <c r="AD1192" s="5"/>
      <c r="AE1192" s="5"/>
      <c r="AF1192" s="5"/>
      <c r="AG1192" s="5"/>
      <c r="AH1192" s="5"/>
      <c r="AI1192" s="5"/>
      <c r="AJ1192" s="5"/>
      <c r="AK1192" s="5"/>
      <c r="AL1192" s="5"/>
      <c r="AM1192" s="5"/>
      <c r="AN1192" s="5"/>
    </row>
    <row r="1193" spans="1:40" x14ac:dyDescent="0.35">
      <c r="A1193" s="5"/>
      <c r="B1193" s="1"/>
      <c r="C1193" s="1"/>
      <c r="D1193" s="1"/>
      <c r="E1193" s="50"/>
      <c r="F1193" s="50"/>
      <c r="G1193" s="50"/>
      <c r="H1193" s="50"/>
      <c r="I1193" s="50"/>
      <c r="J1193" s="50"/>
      <c r="K1193" s="50"/>
      <c r="L1193" s="50"/>
      <c r="M1193" s="50"/>
      <c r="N1193" s="50"/>
      <c r="O1193" s="50"/>
      <c r="P1193" s="50"/>
      <c r="Q1193" s="50"/>
      <c r="R1193" s="50"/>
      <c r="S1193" s="50"/>
      <c r="T1193" s="17"/>
      <c r="U1193" s="5"/>
      <c r="V1193" s="5"/>
      <c r="W1193" s="5"/>
      <c r="X1193" s="5"/>
      <c r="Y1193" s="5"/>
      <c r="Z1193" s="5"/>
      <c r="AA1193" s="5"/>
      <c r="AB1193" s="5"/>
      <c r="AC1193" s="5"/>
      <c r="AD1193" s="5"/>
      <c r="AE1193" s="5"/>
      <c r="AF1193" s="5"/>
      <c r="AG1193" s="5"/>
      <c r="AH1193" s="5"/>
      <c r="AI1193" s="5"/>
      <c r="AJ1193" s="5"/>
      <c r="AK1193" s="5"/>
      <c r="AL1193" s="5"/>
      <c r="AM1193" s="5"/>
      <c r="AN1193" s="5"/>
    </row>
    <row r="1194" spans="1:40" x14ac:dyDescent="0.35">
      <c r="A1194" s="5"/>
      <c r="B1194" s="1"/>
      <c r="C1194" s="1"/>
      <c r="D1194" s="1"/>
      <c r="E1194" s="50"/>
      <c r="F1194" s="50"/>
      <c r="G1194" s="50"/>
      <c r="H1194" s="50"/>
      <c r="I1194" s="50"/>
      <c r="J1194" s="50"/>
      <c r="K1194" s="50"/>
      <c r="L1194" s="50"/>
      <c r="M1194" s="50"/>
      <c r="N1194" s="50"/>
      <c r="O1194" s="50"/>
      <c r="P1194" s="50"/>
      <c r="Q1194" s="50"/>
      <c r="R1194" s="50"/>
      <c r="S1194" s="50"/>
      <c r="T1194" s="17"/>
      <c r="U1194" s="5"/>
      <c r="V1194" s="5"/>
      <c r="W1194" s="5"/>
      <c r="X1194" s="5"/>
      <c r="Y1194" s="5"/>
      <c r="Z1194" s="5"/>
      <c r="AA1194" s="5"/>
      <c r="AB1194" s="5"/>
      <c r="AC1194" s="5"/>
      <c r="AD1194" s="5"/>
      <c r="AE1194" s="5"/>
      <c r="AF1194" s="5"/>
      <c r="AG1194" s="5"/>
      <c r="AH1194" s="5"/>
      <c r="AI1194" s="5"/>
      <c r="AJ1194" s="5"/>
      <c r="AK1194" s="5"/>
      <c r="AL1194" s="5"/>
      <c r="AM1194" s="5"/>
      <c r="AN1194" s="5"/>
    </row>
    <row r="1195" spans="1:40" x14ac:dyDescent="0.35">
      <c r="A1195" s="5"/>
      <c r="B1195" s="1"/>
      <c r="C1195" s="1"/>
      <c r="D1195" s="1"/>
      <c r="E1195" s="50"/>
      <c r="F1195" s="50"/>
      <c r="G1195" s="50"/>
      <c r="H1195" s="50"/>
      <c r="I1195" s="50"/>
      <c r="J1195" s="50"/>
      <c r="K1195" s="50"/>
      <c r="L1195" s="50"/>
      <c r="M1195" s="50"/>
      <c r="N1195" s="50"/>
      <c r="O1195" s="50"/>
      <c r="P1195" s="50"/>
      <c r="Q1195" s="50"/>
      <c r="R1195" s="50"/>
      <c r="S1195" s="50"/>
      <c r="T1195" s="17"/>
      <c r="U1195" s="5"/>
      <c r="V1195" s="5"/>
      <c r="W1195" s="5"/>
      <c r="X1195" s="5"/>
      <c r="Y1195" s="5"/>
      <c r="Z1195" s="5"/>
      <c r="AA1195" s="5"/>
      <c r="AB1195" s="5"/>
      <c r="AC1195" s="5"/>
      <c r="AD1195" s="5"/>
      <c r="AE1195" s="5"/>
      <c r="AF1195" s="5"/>
      <c r="AG1195" s="5"/>
      <c r="AH1195" s="5"/>
      <c r="AI1195" s="5"/>
      <c r="AJ1195" s="5"/>
      <c r="AK1195" s="5"/>
      <c r="AL1195" s="5"/>
      <c r="AM1195" s="5"/>
      <c r="AN1195" s="5"/>
    </row>
    <row r="1196" spans="1:40" x14ac:dyDescent="0.35">
      <c r="A1196" s="5"/>
      <c r="B1196" s="1"/>
      <c r="C1196" s="1"/>
      <c r="D1196" s="1"/>
      <c r="E1196" s="50"/>
      <c r="F1196" s="50"/>
      <c r="G1196" s="50"/>
      <c r="H1196" s="50"/>
      <c r="I1196" s="50"/>
      <c r="J1196" s="50"/>
      <c r="K1196" s="50"/>
      <c r="L1196" s="50"/>
      <c r="M1196" s="50"/>
      <c r="N1196" s="50"/>
      <c r="O1196" s="50"/>
      <c r="P1196" s="50"/>
      <c r="Q1196" s="50"/>
      <c r="R1196" s="50"/>
      <c r="S1196" s="50"/>
      <c r="T1196" s="17"/>
      <c r="U1196" s="5"/>
      <c r="V1196" s="5"/>
      <c r="W1196" s="5"/>
      <c r="X1196" s="5"/>
      <c r="Y1196" s="5"/>
      <c r="Z1196" s="5"/>
      <c r="AA1196" s="5"/>
      <c r="AB1196" s="5"/>
      <c r="AC1196" s="5"/>
      <c r="AD1196" s="5"/>
      <c r="AE1196" s="5"/>
      <c r="AF1196" s="5"/>
      <c r="AG1196" s="5"/>
      <c r="AH1196" s="5"/>
      <c r="AI1196" s="5"/>
      <c r="AJ1196" s="5"/>
      <c r="AK1196" s="5"/>
      <c r="AL1196" s="5"/>
      <c r="AM1196" s="5"/>
      <c r="AN1196" s="5"/>
    </row>
    <row r="1197" spans="1:40" x14ac:dyDescent="0.35">
      <c r="A1197" s="5"/>
      <c r="B1197" s="1"/>
      <c r="C1197" s="1"/>
      <c r="D1197" s="1"/>
      <c r="E1197" s="50"/>
      <c r="F1197" s="50"/>
      <c r="G1197" s="50"/>
      <c r="H1197" s="50"/>
      <c r="I1197" s="50"/>
      <c r="J1197" s="50"/>
      <c r="K1197" s="50"/>
      <c r="L1197" s="50"/>
      <c r="M1197" s="50"/>
      <c r="N1197" s="50"/>
      <c r="O1197" s="50"/>
      <c r="P1197" s="50"/>
      <c r="Q1197" s="50"/>
      <c r="R1197" s="50"/>
      <c r="S1197" s="50"/>
      <c r="T1197" s="17"/>
      <c r="U1197" s="5"/>
      <c r="V1197" s="5"/>
      <c r="W1197" s="5"/>
      <c r="X1197" s="5"/>
      <c r="Y1197" s="5"/>
      <c r="Z1197" s="5"/>
      <c r="AA1197" s="5"/>
      <c r="AB1197" s="5"/>
      <c r="AC1197" s="5"/>
      <c r="AD1197" s="5"/>
      <c r="AE1197" s="5"/>
      <c r="AF1197" s="5"/>
      <c r="AG1197" s="5"/>
      <c r="AH1197" s="5"/>
      <c r="AI1197" s="5"/>
      <c r="AJ1197" s="5"/>
      <c r="AK1197" s="5"/>
      <c r="AL1197" s="5"/>
      <c r="AM1197" s="5"/>
      <c r="AN1197" s="5"/>
    </row>
    <row r="1198" spans="1:40" x14ac:dyDescent="0.35">
      <c r="A1198" s="5"/>
      <c r="B1198" s="1"/>
      <c r="C1198" s="1"/>
      <c r="D1198" s="1"/>
      <c r="E1198" s="50"/>
      <c r="F1198" s="50"/>
      <c r="G1198" s="50"/>
      <c r="H1198" s="50"/>
      <c r="I1198" s="50"/>
      <c r="J1198" s="50"/>
      <c r="K1198" s="50"/>
      <c r="L1198" s="50"/>
      <c r="M1198" s="50"/>
      <c r="N1198" s="50"/>
      <c r="O1198" s="50"/>
      <c r="P1198" s="50"/>
      <c r="Q1198" s="50"/>
      <c r="R1198" s="50"/>
      <c r="S1198" s="50"/>
      <c r="T1198" s="17"/>
      <c r="U1198" s="5"/>
      <c r="V1198" s="5"/>
      <c r="W1198" s="5"/>
      <c r="X1198" s="5"/>
      <c r="Y1198" s="5"/>
      <c r="Z1198" s="5"/>
      <c r="AA1198" s="5"/>
      <c r="AB1198" s="5"/>
      <c r="AC1198" s="5"/>
      <c r="AD1198" s="5"/>
      <c r="AE1198" s="5"/>
      <c r="AF1198" s="5"/>
      <c r="AG1198" s="5"/>
      <c r="AH1198" s="5"/>
      <c r="AI1198" s="5"/>
      <c r="AJ1198" s="5"/>
      <c r="AK1198" s="5"/>
      <c r="AL1198" s="5"/>
      <c r="AM1198" s="5"/>
      <c r="AN1198" s="5"/>
    </row>
    <row r="1199" spans="1:40" x14ac:dyDescent="0.35">
      <c r="A1199" s="5"/>
      <c r="B1199" s="1"/>
      <c r="C1199" s="1"/>
      <c r="D1199" s="1"/>
      <c r="E1199" s="50"/>
      <c r="F1199" s="50"/>
      <c r="G1199" s="50"/>
      <c r="H1199" s="50"/>
      <c r="I1199" s="50"/>
      <c r="J1199" s="50"/>
      <c r="K1199" s="50"/>
      <c r="L1199" s="50"/>
      <c r="M1199" s="50"/>
      <c r="N1199" s="50"/>
      <c r="O1199" s="50"/>
      <c r="P1199" s="50"/>
      <c r="Q1199" s="50"/>
      <c r="R1199" s="50"/>
      <c r="S1199" s="50"/>
      <c r="T1199" s="17"/>
      <c r="U1199" s="5"/>
      <c r="V1199" s="5"/>
      <c r="W1199" s="5"/>
      <c r="X1199" s="5"/>
      <c r="Y1199" s="5"/>
      <c r="Z1199" s="5"/>
      <c r="AA1199" s="5"/>
      <c r="AB1199" s="5"/>
      <c r="AC1199" s="5"/>
      <c r="AD1199" s="5"/>
      <c r="AE1199" s="5"/>
      <c r="AF1199" s="5"/>
      <c r="AG1199" s="5"/>
      <c r="AH1199" s="5"/>
      <c r="AI1199" s="5"/>
      <c r="AJ1199" s="5"/>
      <c r="AK1199" s="5"/>
      <c r="AL1199" s="5"/>
      <c r="AM1199" s="5"/>
      <c r="AN1199" s="5"/>
    </row>
    <row r="1200" spans="1:40" x14ac:dyDescent="0.35">
      <c r="A1200" s="5"/>
      <c r="B1200" s="1"/>
      <c r="C1200" s="1"/>
      <c r="D1200" s="1"/>
      <c r="E1200" s="50"/>
      <c r="F1200" s="50"/>
      <c r="G1200" s="50"/>
      <c r="H1200" s="50"/>
      <c r="I1200" s="50"/>
      <c r="J1200" s="50"/>
      <c r="K1200" s="50"/>
      <c r="L1200" s="50"/>
      <c r="M1200" s="50"/>
      <c r="N1200" s="50"/>
      <c r="O1200" s="50"/>
      <c r="P1200" s="50"/>
      <c r="Q1200" s="50"/>
      <c r="R1200" s="50"/>
      <c r="S1200" s="50"/>
      <c r="T1200" s="17"/>
      <c r="U1200" s="5"/>
      <c r="V1200" s="5"/>
      <c r="W1200" s="5"/>
      <c r="X1200" s="5"/>
      <c r="Y1200" s="5"/>
      <c r="Z1200" s="5"/>
      <c r="AA1200" s="5"/>
      <c r="AB1200" s="5"/>
      <c r="AC1200" s="5"/>
      <c r="AD1200" s="5"/>
      <c r="AE1200" s="5"/>
      <c r="AF1200" s="5"/>
      <c r="AG1200" s="5"/>
      <c r="AH1200" s="5"/>
      <c r="AI1200" s="5"/>
      <c r="AJ1200" s="5"/>
      <c r="AK1200" s="5"/>
      <c r="AL1200" s="5"/>
      <c r="AM1200" s="5"/>
      <c r="AN1200" s="5"/>
    </row>
    <row r="1201" spans="1:40" x14ac:dyDescent="0.35">
      <c r="A1201" s="5"/>
      <c r="B1201" s="1"/>
      <c r="C1201" s="1"/>
      <c r="D1201" s="1"/>
      <c r="E1201" s="50"/>
      <c r="F1201" s="50"/>
      <c r="G1201" s="50"/>
      <c r="H1201" s="50"/>
      <c r="I1201" s="50"/>
      <c r="J1201" s="50"/>
      <c r="K1201" s="50"/>
      <c r="L1201" s="50"/>
      <c r="M1201" s="50"/>
      <c r="N1201" s="50"/>
      <c r="O1201" s="50"/>
      <c r="P1201" s="50"/>
      <c r="Q1201" s="50"/>
      <c r="R1201" s="50"/>
      <c r="S1201" s="50"/>
      <c r="T1201" s="17"/>
      <c r="U1201" s="5"/>
      <c r="V1201" s="5"/>
      <c r="W1201" s="5"/>
      <c r="X1201" s="5"/>
      <c r="Y1201" s="5"/>
      <c r="Z1201" s="5"/>
      <c r="AA1201" s="5"/>
      <c r="AB1201" s="5"/>
      <c r="AC1201" s="5"/>
      <c r="AD1201" s="5"/>
      <c r="AE1201" s="5"/>
      <c r="AF1201" s="5"/>
      <c r="AG1201" s="5"/>
      <c r="AH1201" s="5"/>
      <c r="AI1201" s="5"/>
      <c r="AJ1201" s="5"/>
      <c r="AK1201" s="5"/>
      <c r="AL1201" s="5"/>
      <c r="AM1201" s="5"/>
      <c r="AN1201" s="5"/>
    </row>
    <row r="1202" spans="1:40" x14ac:dyDescent="0.35">
      <c r="A1202" s="5"/>
      <c r="B1202" s="1"/>
      <c r="C1202" s="1"/>
      <c r="D1202" s="1"/>
      <c r="E1202" s="50"/>
      <c r="F1202" s="50"/>
      <c r="G1202" s="50"/>
      <c r="H1202" s="50"/>
      <c r="I1202" s="50"/>
      <c r="J1202" s="50"/>
      <c r="K1202" s="50"/>
      <c r="L1202" s="50"/>
      <c r="M1202" s="50"/>
      <c r="N1202" s="50"/>
      <c r="O1202" s="50"/>
      <c r="P1202" s="50"/>
      <c r="Q1202" s="50"/>
      <c r="R1202" s="50"/>
      <c r="S1202" s="50"/>
      <c r="T1202" s="17"/>
      <c r="U1202" s="5"/>
      <c r="V1202" s="5"/>
      <c r="W1202" s="5"/>
      <c r="X1202" s="5"/>
      <c r="Y1202" s="5"/>
      <c r="Z1202" s="5"/>
      <c r="AA1202" s="5"/>
      <c r="AB1202" s="5"/>
      <c r="AC1202" s="5"/>
      <c r="AD1202" s="5"/>
      <c r="AE1202" s="5"/>
      <c r="AF1202" s="5"/>
      <c r="AG1202" s="5"/>
      <c r="AH1202" s="5"/>
      <c r="AI1202" s="5"/>
      <c r="AJ1202" s="5"/>
      <c r="AK1202" s="5"/>
      <c r="AL1202" s="5"/>
      <c r="AM1202" s="5"/>
      <c r="AN1202" s="5"/>
    </row>
    <row r="1203" spans="1:40" x14ac:dyDescent="0.35">
      <c r="A1203" s="5"/>
      <c r="B1203" s="1"/>
      <c r="C1203" s="1"/>
      <c r="D1203" s="1"/>
      <c r="E1203" s="50"/>
      <c r="F1203" s="50"/>
      <c r="G1203" s="50"/>
      <c r="H1203" s="50"/>
      <c r="I1203" s="50"/>
      <c r="J1203" s="50"/>
      <c r="K1203" s="50"/>
      <c r="L1203" s="50"/>
      <c r="M1203" s="50"/>
      <c r="N1203" s="50"/>
      <c r="O1203" s="50"/>
      <c r="P1203" s="50"/>
      <c r="Q1203" s="50"/>
      <c r="R1203" s="50"/>
      <c r="S1203" s="50"/>
      <c r="T1203" s="17"/>
      <c r="U1203" s="5"/>
      <c r="V1203" s="5"/>
      <c r="W1203" s="5"/>
      <c r="X1203" s="5"/>
      <c r="Y1203" s="5"/>
      <c r="Z1203" s="5"/>
      <c r="AA1203" s="5"/>
      <c r="AB1203" s="5"/>
      <c r="AC1203" s="5"/>
      <c r="AD1203" s="5"/>
      <c r="AE1203" s="5"/>
      <c r="AF1203" s="5"/>
      <c r="AG1203" s="5"/>
      <c r="AH1203" s="5"/>
      <c r="AI1203" s="5"/>
      <c r="AJ1203" s="5"/>
      <c r="AK1203" s="5"/>
      <c r="AL1203" s="5"/>
      <c r="AM1203" s="5"/>
      <c r="AN1203" s="5"/>
    </row>
    <row r="1204" spans="1:40" x14ac:dyDescent="0.35">
      <c r="A1204" s="5"/>
      <c r="B1204" s="1"/>
      <c r="C1204" s="1"/>
      <c r="D1204" s="1"/>
      <c r="E1204" s="50"/>
      <c r="F1204" s="50"/>
      <c r="G1204" s="50"/>
      <c r="H1204" s="50"/>
      <c r="I1204" s="50"/>
      <c r="J1204" s="50"/>
      <c r="K1204" s="50"/>
      <c r="L1204" s="50"/>
      <c r="M1204" s="50"/>
      <c r="N1204" s="50"/>
      <c r="O1204" s="50"/>
      <c r="P1204" s="50"/>
      <c r="Q1204" s="50"/>
      <c r="R1204" s="50"/>
      <c r="S1204" s="50"/>
      <c r="T1204" s="17"/>
      <c r="U1204" s="5"/>
      <c r="V1204" s="5"/>
      <c r="W1204" s="5"/>
      <c r="X1204" s="5"/>
      <c r="Y1204" s="5"/>
      <c r="Z1204" s="5"/>
      <c r="AA1204" s="5"/>
      <c r="AB1204" s="5"/>
      <c r="AC1204" s="5"/>
      <c r="AD1204" s="5"/>
      <c r="AE1204" s="5"/>
      <c r="AF1204" s="5"/>
      <c r="AG1204" s="5"/>
      <c r="AH1204" s="5"/>
      <c r="AI1204" s="5"/>
      <c r="AJ1204" s="5"/>
      <c r="AK1204" s="5"/>
      <c r="AL1204" s="5"/>
      <c r="AM1204" s="5"/>
      <c r="AN1204" s="5"/>
    </row>
    <row r="1205" spans="1:40" x14ac:dyDescent="0.35">
      <c r="A1205" s="5"/>
      <c r="B1205" s="1"/>
      <c r="C1205" s="1"/>
      <c r="D1205" s="1"/>
      <c r="E1205" s="50"/>
      <c r="F1205" s="50"/>
      <c r="G1205" s="50"/>
      <c r="H1205" s="50"/>
      <c r="I1205" s="50"/>
      <c r="J1205" s="50"/>
      <c r="K1205" s="50"/>
      <c r="L1205" s="50"/>
      <c r="M1205" s="50"/>
      <c r="N1205" s="50"/>
      <c r="O1205" s="50"/>
      <c r="P1205" s="50"/>
      <c r="Q1205" s="50"/>
      <c r="R1205" s="50"/>
      <c r="S1205" s="50"/>
      <c r="T1205" s="17"/>
      <c r="U1205" s="5"/>
      <c r="V1205" s="5"/>
      <c r="W1205" s="5"/>
      <c r="X1205" s="5"/>
      <c r="Y1205" s="5"/>
      <c r="Z1205" s="5"/>
      <c r="AA1205" s="5"/>
      <c r="AB1205" s="5"/>
      <c r="AC1205" s="5"/>
      <c r="AD1205" s="5"/>
      <c r="AE1205" s="5"/>
      <c r="AF1205" s="5"/>
      <c r="AG1205" s="5"/>
      <c r="AH1205" s="5"/>
      <c r="AI1205" s="5"/>
      <c r="AJ1205" s="5"/>
      <c r="AK1205" s="5"/>
      <c r="AL1205" s="5"/>
      <c r="AM1205" s="5"/>
      <c r="AN1205" s="5"/>
    </row>
    <row r="1206" spans="1:40" x14ac:dyDescent="0.35">
      <c r="A1206" s="5"/>
      <c r="B1206" s="1"/>
      <c r="C1206" s="1"/>
      <c r="D1206" s="1"/>
      <c r="E1206" s="50"/>
      <c r="F1206" s="50"/>
      <c r="G1206" s="50"/>
      <c r="H1206" s="50"/>
      <c r="I1206" s="50"/>
      <c r="J1206" s="50"/>
      <c r="K1206" s="50"/>
      <c r="L1206" s="50"/>
      <c r="M1206" s="50"/>
      <c r="N1206" s="50"/>
      <c r="O1206" s="50"/>
      <c r="P1206" s="50"/>
      <c r="Q1206" s="50"/>
      <c r="R1206" s="50"/>
      <c r="S1206" s="50"/>
      <c r="T1206" s="17"/>
      <c r="U1206" s="5"/>
      <c r="V1206" s="5"/>
      <c r="W1206" s="5"/>
      <c r="X1206" s="5"/>
      <c r="Y1206" s="5"/>
      <c r="Z1206" s="5"/>
      <c r="AA1206" s="5"/>
      <c r="AB1206" s="5"/>
      <c r="AC1206" s="5"/>
      <c r="AD1206" s="5"/>
      <c r="AE1206" s="5"/>
      <c r="AF1206" s="5"/>
      <c r="AG1206" s="5"/>
      <c r="AH1206" s="5"/>
      <c r="AI1206" s="5"/>
      <c r="AJ1206" s="5"/>
      <c r="AK1206" s="5"/>
      <c r="AL1206" s="5"/>
      <c r="AM1206" s="5"/>
      <c r="AN1206" s="5"/>
    </row>
    <row r="1207" spans="1:40" x14ac:dyDescent="0.35">
      <c r="A1207" s="5"/>
      <c r="B1207" s="1"/>
      <c r="C1207" s="1"/>
      <c r="D1207" s="1"/>
      <c r="E1207" s="50"/>
      <c r="F1207" s="50"/>
      <c r="G1207" s="50"/>
      <c r="H1207" s="50"/>
      <c r="I1207" s="50"/>
      <c r="J1207" s="50"/>
      <c r="K1207" s="50"/>
      <c r="L1207" s="50"/>
      <c r="M1207" s="50"/>
      <c r="N1207" s="50"/>
      <c r="O1207" s="50"/>
      <c r="P1207" s="50"/>
      <c r="Q1207" s="50"/>
      <c r="R1207" s="50"/>
      <c r="S1207" s="50"/>
      <c r="T1207" s="17"/>
      <c r="U1207" s="5"/>
      <c r="V1207" s="5"/>
      <c r="W1207" s="5"/>
      <c r="X1207" s="5"/>
      <c r="Y1207" s="5"/>
      <c r="Z1207" s="5"/>
      <c r="AA1207" s="5"/>
      <c r="AB1207" s="5"/>
      <c r="AC1207" s="5"/>
      <c r="AD1207" s="5"/>
      <c r="AE1207" s="5"/>
      <c r="AF1207" s="5"/>
      <c r="AG1207" s="5"/>
      <c r="AH1207" s="5"/>
      <c r="AI1207" s="5"/>
      <c r="AJ1207" s="5"/>
      <c r="AK1207" s="5"/>
      <c r="AL1207" s="5"/>
      <c r="AM1207" s="5"/>
      <c r="AN1207" s="5"/>
    </row>
    <row r="1208" spans="1:40" x14ac:dyDescent="0.35">
      <c r="A1208" s="5"/>
      <c r="B1208" s="1"/>
      <c r="C1208" s="1"/>
      <c r="D1208" s="1"/>
      <c r="E1208" s="50"/>
      <c r="F1208" s="50"/>
      <c r="G1208" s="50"/>
      <c r="H1208" s="50"/>
      <c r="I1208" s="50"/>
      <c r="J1208" s="50"/>
      <c r="K1208" s="50"/>
      <c r="L1208" s="50"/>
      <c r="M1208" s="50"/>
      <c r="N1208" s="50"/>
      <c r="O1208" s="50"/>
      <c r="P1208" s="50"/>
      <c r="Q1208" s="50"/>
      <c r="R1208" s="50"/>
      <c r="S1208" s="50"/>
      <c r="T1208" s="17"/>
      <c r="U1208" s="5"/>
      <c r="V1208" s="5"/>
      <c r="W1208" s="5"/>
      <c r="X1208" s="5"/>
      <c r="Y1208" s="5"/>
      <c r="Z1208" s="5"/>
      <c r="AA1208" s="5"/>
      <c r="AB1208" s="5"/>
      <c r="AC1208" s="5"/>
      <c r="AD1208" s="5"/>
      <c r="AE1208" s="5"/>
      <c r="AF1208" s="5"/>
      <c r="AG1208" s="5"/>
      <c r="AH1208" s="5"/>
      <c r="AI1208" s="5"/>
      <c r="AJ1208" s="5"/>
      <c r="AK1208" s="5"/>
      <c r="AL1208" s="5"/>
      <c r="AM1208" s="5"/>
      <c r="AN1208" s="5"/>
    </row>
    <row r="1209" spans="1:40" x14ac:dyDescent="0.35">
      <c r="A1209" s="5"/>
      <c r="B1209" s="1"/>
      <c r="C1209" s="1"/>
      <c r="D1209" s="1"/>
      <c r="E1209" s="50"/>
      <c r="F1209" s="50"/>
      <c r="G1209" s="50"/>
      <c r="H1209" s="50"/>
      <c r="I1209" s="50"/>
      <c r="J1209" s="50"/>
      <c r="K1209" s="50"/>
      <c r="L1209" s="50"/>
      <c r="M1209" s="50"/>
      <c r="N1209" s="50"/>
      <c r="O1209" s="50"/>
      <c r="P1209" s="50"/>
      <c r="Q1209" s="50"/>
      <c r="R1209" s="50"/>
      <c r="S1209" s="50"/>
      <c r="T1209" s="17"/>
      <c r="U1209" s="5"/>
      <c r="V1209" s="5"/>
      <c r="W1209" s="5"/>
      <c r="X1209" s="5"/>
      <c r="Y1209" s="5"/>
      <c r="Z1209" s="5"/>
      <c r="AA1209" s="5"/>
      <c r="AB1209" s="5"/>
      <c r="AC1209" s="5"/>
      <c r="AD1209" s="5"/>
      <c r="AE1209" s="5"/>
      <c r="AF1209" s="5"/>
      <c r="AG1209" s="5"/>
      <c r="AH1209" s="5"/>
      <c r="AI1209" s="5"/>
      <c r="AJ1209" s="5"/>
      <c r="AK1209" s="5"/>
      <c r="AL1209" s="5"/>
      <c r="AM1209" s="5"/>
      <c r="AN1209" s="5"/>
    </row>
    <row r="1210" spans="1:40" x14ac:dyDescent="0.35">
      <c r="A1210" s="5"/>
      <c r="B1210" s="1"/>
      <c r="C1210" s="1"/>
      <c r="D1210" s="1"/>
      <c r="E1210" s="50"/>
      <c r="F1210" s="50"/>
      <c r="G1210" s="50"/>
      <c r="H1210" s="50"/>
      <c r="I1210" s="50"/>
      <c r="J1210" s="50"/>
      <c r="K1210" s="50"/>
      <c r="L1210" s="50"/>
      <c r="M1210" s="50"/>
      <c r="N1210" s="50"/>
      <c r="O1210" s="50"/>
      <c r="P1210" s="50"/>
      <c r="Q1210" s="50"/>
      <c r="R1210" s="50"/>
      <c r="S1210" s="50"/>
      <c r="T1210" s="17"/>
      <c r="U1210" s="5"/>
      <c r="V1210" s="5"/>
      <c r="W1210" s="5"/>
      <c r="X1210" s="5"/>
      <c r="Y1210" s="5"/>
      <c r="Z1210" s="5"/>
      <c r="AA1210" s="5"/>
      <c r="AB1210" s="5"/>
      <c r="AC1210" s="5"/>
      <c r="AD1210" s="5"/>
      <c r="AE1210" s="5"/>
      <c r="AF1210" s="5"/>
      <c r="AG1210" s="5"/>
      <c r="AH1210" s="5"/>
      <c r="AI1210" s="5"/>
      <c r="AJ1210" s="5"/>
      <c r="AK1210" s="5"/>
      <c r="AL1210" s="5"/>
      <c r="AM1210" s="5"/>
      <c r="AN1210" s="5"/>
    </row>
    <row r="1211" spans="1:40" x14ac:dyDescent="0.35">
      <c r="A1211" s="5"/>
      <c r="B1211" s="1"/>
      <c r="C1211" s="1"/>
      <c r="D1211" s="1"/>
      <c r="E1211" s="50"/>
      <c r="F1211" s="50"/>
      <c r="G1211" s="50"/>
      <c r="H1211" s="50"/>
      <c r="I1211" s="50"/>
      <c r="J1211" s="50"/>
      <c r="K1211" s="50"/>
      <c r="L1211" s="50"/>
      <c r="M1211" s="50"/>
      <c r="N1211" s="50"/>
      <c r="O1211" s="50"/>
      <c r="P1211" s="50"/>
      <c r="Q1211" s="50"/>
      <c r="R1211" s="50"/>
      <c r="S1211" s="50"/>
      <c r="T1211" s="17"/>
      <c r="U1211" s="5"/>
      <c r="V1211" s="5"/>
      <c r="W1211" s="5"/>
      <c r="X1211" s="5"/>
      <c r="Y1211" s="5"/>
      <c r="Z1211" s="5"/>
      <c r="AA1211" s="5"/>
      <c r="AB1211" s="5"/>
      <c r="AC1211" s="5"/>
      <c r="AD1211" s="5"/>
      <c r="AE1211" s="5"/>
      <c r="AF1211" s="5"/>
      <c r="AG1211" s="5"/>
      <c r="AH1211" s="5"/>
      <c r="AI1211" s="5"/>
      <c r="AJ1211" s="5"/>
      <c r="AK1211" s="5"/>
      <c r="AL1211" s="5"/>
      <c r="AM1211" s="5"/>
      <c r="AN1211" s="5"/>
    </row>
    <row r="1212" spans="1:40" x14ac:dyDescent="0.35">
      <c r="A1212" s="5"/>
      <c r="B1212" s="1"/>
      <c r="C1212" s="1"/>
      <c r="D1212" s="1"/>
      <c r="E1212" s="50"/>
      <c r="F1212" s="50"/>
      <c r="G1212" s="50"/>
      <c r="H1212" s="50"/>
      <c r="I1212" s="50"/>
      <c r="J1212" s="50"/>
      <c r="K1212" s="50"/>
      <c r="L1212" s="50"/>
      <c r="M1212" s="50"/>
      <c r="N1212" s="50"/>
      <c r="O1212" s="50"/>
      <c r="P1212" s="50"/>
      <c r="Q1212" s="50"/>
      <c r="R1212" s="50"/>
      <c r="S1212" s="50"/>
      <c r="T1212" s="17"/>
      <c r="U1212" s="5"/>
      <c r="V1212" s="5"/>
      <c r="W1212" s="5"/>
      <c r="X1212" s="5"/>
      <c r="Y1212" s="5"/>
      <c r="Z1212" s="5"/>
      <c r="AA1212" s="5"/>
      <c r="AB1212" s="5"/>
      <c r="AC1212" s="5"/>
      <c r="AD1212" s="5"/>
      <c r="AE1212" s="5"/>
      <c r="AF1212" s="5"/>
      <c r="AG1212" s="5"/>
      <c r="AH1212" s="5"/>
      <c r="AI1212" s="5"/>
      <c r="AJ1212" s="5"/>
      <c r="AK1212" s="5"/>
      <c r="AL1212" s="5"/>
      <c r="AM1212" s="5"/>
      <c r="AN1212" s="5"/>
    </row>
    <row r="1213" spans="1:40" x14ac:dyDescent="0.35">
      <c r="A1213" s="5"/>
      <c r="B1213" s="1"/>
      <c r="C1213" s="1"/>
      <c r="D1213" s="1"/>
      <c r="E1213" s="50"/>
      <c r="F1213" s="50"/>
      <c r="G1213" s="50"/>
      <c r="H1213" s="50"/>
      <c r="I1213" s="50"/>
      <c r="J1213" s="50"/>
      <c r="K1213" s="50"/>
      <c r="L1213" s="50"/>
      <c r="M1213" s="50"/>
      <c r="N1213" s="50"/>
      <c r="O1213" s="50"/>
      <c r="P1213" s="50"/>
      <c r="Q1213" s="50"/>
      <c r="R1213" s="50"/>
      <c r="S1213" s="50"/>
      <c r="T1213" s="17"/>
      <c r="U1213" s="5"/>
      <c r="V1213" s="5"/>
      <c r="W1213" s="5"/>
      <c r="X1213" s="5"/>
      <c r="Y1213" s="5"/>
      <c r="Z1213" s="5"/>
      <c r="AA1213" s="5"/>
      <c r="AB1213" s="5"/>
      <c r="AC1213" s="5"/>
      <c r="AD1213" s="5"/>
      <c r="AE1213" s="5"/>
      <c r="AF1213" s="5"/>
      <c r="AG1213" s="5"/>
      <c r="AH1213" s="5"/>
      <c r="AI1213" s="5"/>
      <c r="AJ1213" s="5"/>
      <c r="AK1213" s="5"/>
      <c r="AL1213" s="5"/>
      <c r="AM1213" s="5"/>
      <c r="AN1213" s="5"/>
    </row>
    <row r="1214" spans="1:40" x14ac:dyDescent="0.35">
      <c r="A1214" s="5"/>
      <c r="B1214" s="1"/>
      <c r="C1214" s="1"/>
      <c r="D1214" s="1"/>
      <c r="E1214" s="50"/>
      <c r="F1214" s="50"/>
      <c r="G1214" s="50"/>
      <c r="H1214" s="50"/>
      <c r="I1214" s="50"/>
      <c r="J1214" s="50"/>
      <c r="K1214" s="50"/>
      <c r="L1214" s="50"/>
      <c r="M1214" s="50"/>
      <c r="N1214" s="50"/>
      <c r="O1214" s="50"/>
      <c r="P1214" s="50"/>
      <c r="Q1214" s="50"/>
      <c r="R1214" s="50"/>
      <c r="S1214" s="50"/>
      <c r="T1214" s="17"/>
      <c r="U1214" s="5"/>
      <c r="V1214" s="5"/>
      <c r="W1214" s="5"/>
      <c r="X1214" s="5"/>
      <c r="Y1214" s="5"/>
      <c r="Z1214" s="5"/>
      <c r="AA1214" s="5"/>
      <c r="AB1214" s="5"/>
      <c r="AC1214" s="5"/>
      <c r="AD1214" s="5"/>
      <c r="AE1214" s="5"/>
      <c r="AF1214" s="5"/>
      <c r="AG1214" s="5"/>
      <c r="AH1214" s="5"/>
      <c r="AI1214" s="5"/>
      <c r="AJ1214" s="5"/>
      <c r="AK1214" s="5"/>
      <c r="AL1214" s="5"/>
      <c r="AM1214" s="5"/>
      <c r="AN1214" s="5"/>
    </row>
    <row r="1215" spans="1:40" x14ac:dyDescent="0.35">
      <c r="A1215" s="5"/>
      <c r="B1215" s="1"/>
      <c r="C1215" s="1"/>
      <c r="D1215" s="1"/>
      <c r="E1215" s="50"/>
      <c r="F1215" s="50"/>
      <c r="G1215" s="50"/>
      <c r="H1215" s="50"/>
      <c r="I1215" s="50"/>
      <c r="J1215" s="50"/>
      <c r="K1215" s="50"/>
      <c r="L1215" s="50"/>
      <c r="M1215" s="50"/>
      <c r="N1215" s="50"/>
      <c r="O1215" s="50"/>
      <c r="P1215" s="50"/>
      <c r="Q1215" s="50"/>
      <c r="R1215" s="50"/>
      <c r="S1215" s="50"/>
      <c r="T1215" s="17"/>
      <c r="U1215" s="5"/>
      <c r="V1215" s="5"/>
      <c r="W1215" s="5"/>
      <c r="X1215" s="5"/>
      <c r="Y1215" s="5"/>
      <c r="Z1215" s="5"/>
      <c r="AA1215" s="5"/>
      <c r="AB1215" s="5"/>
      <c r="AC1215" s="5"/>
      <c r="AD1215" s="5"/>
      <c r="AE1215" s="5"/>
      <c r="AF1215" s="5"/>
      <c r="AG1215" s="5"/>
      <c r="AH1215" s="5"/>
      <c r="AI1215" s="5"/>
      <c r="AJ1215" s="5"/>
      <c r="AK1215" s="5"/>
      <c r="AL1215" s="5"/>
      <c r="AM1215" s="5"/>
      <c r="AN1215" s="5"/>
    </row>
    <row r="1216" spans="1:40" x14ac:dyDescent="0.35">
      <c r="A1216" s="5"/>
      <c r="B1216" s="1"/>
      <c r="C1216" s="1"/>
      <c r="D1216" s="1"/>
      <c r="E1216" s="50"/>
      <c r="F1216" s="50"/>
      <c r="G1216" s="50"/>
      <c r="H1216" s="50"/>
      <c r="I1216" s="50"/>
      <c r="J1216" s="50"/>
      <c r="K1216" s="50"/>
      <c r="L1216" s="50"/>
      <c r="M1216" s="50"/>
      <c r="N1216" s="50"/>
      <c r="O1216" s="50"/>
      <c r="P1216" s="50"/>
      <c r="Q1216" s="50"/>
      <c r="R1216" s="50"/>
      <c r="S1216" s="50"/>
      <c r="T1216" s="17"/>
      <c r="U1216" s="5"/>
      <c r="V1216" s="5"/>
      <c r="W1216" s="5"/>
      <c r="X1216" s="5"/>
      <c r="Y1216" s="5"/>
      <c r="Z1216" s="5"/>
      <c r="AA1216" s="5"/>
      <c r="AB1216" s="5"/>
      <c r="AC1216" s="5"/>
      <c r="AD1216" s="5"/>
      <c r="AE1216" s="5"/>
      <c r="AF1216" s="5"/>
      <c r="AG1216" s="5"/>
      <c r="AH1216" s="5"/>
      <c r="AI1216" s="5"/>
      <c r="AJ1216" s="5"/>
      <c r="AK1216" s="5"/>
      <c r="AL1216" s="5"/>
      <c r="AM1216" s="5"/>
      <c r="AN1216" s="5"/>
    </row>
  </sheetData>
  <autoFilter ref="B8:T12" xr:uid="{235C3614-91B0-422A-BD61-197B4774543D}">
    <sortState xmlns:xlrd2="http://schemas.microsoft.com/office/spreadsheetml/2017/richdata2" ref="B9:T12">
      <sortCondition ref="D8:D888"/>
    </sortState>
  </autoFilter>
  <sortState xmlns:xlrd2="http://schemas.microsoft.com/office/spreadsheetml/2017/richdata2" ref="D8:D9">
    <sortCondition ref="D4"/>
  </sortState>
  <mergeCells count="4">
    <mergeCell ref="C1:G2"/>
    <mergeCell ref="A1:A3"/>
    <mergeCell ref="P3:Q3"/>
    <mergeCell ref="B4:I4"/>
  </mergeCell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2" r:id="rId4" name="liste_types">
          <controlPr defaultSize="0" autoLine="0" r:id="rId5">
            <anchor moveWithCells="1">
              <from>
                <xdr:col>2</xdr:col>
                <xdr:colOff>742950</xdr:colOff>
                <xdr:row>3</xdr:row>
                <xdr:rowOff>203200</xdr:rowOff>
              </from>
              <to>
                <xdr:col>5</xdr:col>
                <xdr:colOff>1606550</xdr:colOff>
                <xdr:row>3</xdr:row>
                <xdr:rowOff>584200</xdr:rowOff>
              </to>
            </anchor>
          </controlPr>
        </control>
      </mc:Choice>
      <mc:Fallback>
        <control shapeId="2052" r:id="rId4" name="liste_types"/>
      </mc:Fallback>
    </mc:AlternateContent>
    <mc:AlternateContent xmlns:mc="http://schemas.openxmlformats.org/markup-compatibility/2006">
      <mc:Choice Requires="x14">
        <control shapeId="2053" r:id="rId6" name="liste_RA">
          <controlPr defaultSize="0" autoLine="0" r:id="rId7">
            <anchor moveWithCells="1">
              <from>
                <xdr:col>6</xdr:col>
                <xdr:colOff>82550</xdr:colOff>
                <xdr:row>3</xdr:row>
                <xdr:rowOff>209550</xdr:rowOff>
              </from>
              <to>
                <xdr:col>8</xdr:col>
                <xdr:colOff>844550</xdr:colOff>
                <xdr:row>3</xdr:row>
                <xdr:rowOff>539750</xdr:rowOff>
              </to>
            </anchor>
          </controlPr>
        </control>
      </mc:Choice>
      <mc:Fallback>
        <control shapeId="2053" r:id="rId6" name="liste_R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61864-BC37-4FC9-BBEE-8858A9BB5456}">
  <sheetPr codeName="Feuil3"/>
  <dimension ref="B2:D10"/>
  <sheetViews>
    <sheetView topLeftCell="A4" workbookViewId="0">
      <selection activeCell="D5" sqref="D5:D7"/>
    </sheetView>
  </sheetViews>
  <sheetFormatPr baseColWidth="10" defaultRowHeight="14.5" x14ac:dyDescent="0.35"/>
  <cols>
    <col min="2" max="2" width="54.54296875" customWidth="1"/>
    <col min="4" max="4" width="59.1796875" customWidth="1"/>
  </cols>
  <sheetData>
    <row r="2" spans="2:4" ht="15" thickBot="1" x14ac:dyDescent="0.4"/>
    <row r="3" spans="2:4" ht="16.5" thickBot="1" x14ac:dyDescent="0.4">
      <c r="B3" s="2" t="s">
        <v>9</v>
      </c>
      <c r="D3" s="2" t="s">
        <v>10</v>
      </c>
    </row>
    <row r="4" spans="2:4" x14ac:dyDescent="0.35">
      <c r="B4" s="22" t="s">
        <v>137</v>
      </c>
      <c r="D4" s="3" t="s">
        <v>11</v>
      </c>
    </row>
    <row r="5" spans="2:4" x14ac:dyDescent="0.35">
      <c r="B5" s="22" t="s">
        <v>34</v>
      </c>
      <c r="D5">
        <v>48</v>
      </c>
    </row>
    <row r="6" spans="2:4" x14ac:dyDescent="0.35">
      <c r="B6" t="s">
        <v>40</v>
      </c>
      <c r="D6">
        <v>54</v>
      </c>
    </row>
    <row r="7" spans="2:4" x14ac:dyDescent="0.35">
      <c r="B7" t="s">
        <v>42</v>
      </c>
    </row>
    <row r="8" spans="2:4" x14ac:dyDescent="0.35">
      <c r="B8" t="s">
        <v>43</v>
      </c>
    </row>
    <row r="9" spans="2:4" x14ac:dyDescent="0.35">
      <c r="B9" t="s">
        <v>56</v>
      </c>
    </row>
    <row r="10" spans="2:4" x14ac:dyDescent="0.35">
      <c r="B10" t="s">
        <v>138</v>
      </c>
    </row>
  </sheetData>
  <sortState xmlns:xlrd2="http://schemas.microsoft.com/office/spreadsheetml/2017/richdata2" ref="D5:D7">
    <sortCondition ref="D5"/>
  </sortState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Toitures</vt:lpstr>
      <vt:lpstr>Listes_cascade</vt:lpstr>
      <vt:lpstr>Construction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stage1</dc:creator>
  <cp:lastModifiedBy>stage1</cp:lastModifiedBy>
  <dcterms:created xsi:type="dcterms:W3CDTF">2021-10-15T06:40:27Z</dcterms:created>
  <dcterms:modified xsi:type="dcterms:W3CDTF">2021-10-29T14:21:02Z</dcterms:modified>
</cp:coreProperties>
</file>