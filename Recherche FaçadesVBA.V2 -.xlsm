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tiaacoustiquecom-my.sharepoint.com/personal/stagiaire_altia-acoustique_com/Documents/Bureau/Dossier code/"/>
    </mc:Choice>
  </mc:AlternateContent>
  <xr:revisionPtr revIDLastSave="460" documentId="13_ncr:1_{11845B11-43AA-481C-898C-1CE1DF25F77E}" xr6:coauthVersionLast="47" xr6:coauthVersionMax="47" xr10:uidLastSave="{2A4EF896-FB3B-4C94-B41A-9D2CACDE9E12}"/>
  <bookViews>
    <workbookView xWindow="-110" yWindow="-110" windowWidth="19420" windowHeight="10420" activeTab="1" xr2:uid="{FDA68384-36E6-431E-B830-02EC22E0EC74}"/>
  </bookViews>
  <sheets>
    <sheet name="Façades" sheetId="1" r:id="rId1"/>
    <sheet name="Listes_cascade" sheetId="2" r:id="rId2"/>
    <sheet name="Construction" sheetId="3" r:id="rId3"/>
  </sheets>
  <definedNames>
    <definedName name="_xlnm._FilterDatabase" localSheetId="1" hidden="1">Listes_cascade!$B$8:$T$8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37" i="1" l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P5" i="2" l="1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AQ5" i="2" s="1"/>
  <c r="AT5" i="2" l="1"/>
  <c r="AU5" i="2"/>
  <c r="AV5" i="2"/>
  <c r="AR5" i="2"/>
  <c r="AS5" i="2"/>
</calcChain>
</file>

<file path=xl/sharedStrings.xml><?xml version="1.0" encoding="utf-8"?>
<sst xmlns="http://schemas.openxmlformats.org/spreadsheetml/2006/main" count="5256" uniqueCount="221">
  <si>
    <t>Catalogue</t>
  </si>
  <si>
    <t>R_A</t>
  </si>
  <si>
    <t>Type</t>
  </si>
  <si>
    <t>Isolant</t>
  </si>
  <si>
    <t>Parement ext</t>
  </si>
  <si>
    <t>Vide d'air</t>
  </si>
  <si>
    <t>Isolant secondaire</t>
  </si>
  <si>
    <t>RQA</t>
  </si>
  <si>
    <t>2BA13</t>
  </si>
  <si>
    <t>1BA13</t>
  </si>
  <si>
    <t>1BA13dB</t>
  </si>
  <si>
    <t>1BA15F</t>
  </si>
  <si>
    <t>1BA18</t>
  </si>
  <si>
    <t>2BA18</t>
  </si>
  <si>
    <t>2BA13dB</t>
  </si>
  <si>
    <t>Plaque PLACO protection incendie RF (15mm)</t>
  </si>
  <si>
    <t>Plaque fibre de plâtre rigidur H (15mm)</t>
  </si>
  <si>
    <t>Laine minérale (50mm)</t>
  </si>
  <si>
    <t>Lattage bois (60/60) sur étrier (70mm)</t>
  </si>
  <si>
    <t>Plaque PLACO protection incendie RF (2x12,5mm)</t>
  </si>
  <si>
    <t>Plaque fibre de plâtre rigidur H (2x12,5mm)</t>
  </si>
  <si>
    <t>ID</t>
  </si>
  <si>
    <t>Zone de critères</t>
  </si>
  <si>
    <t>Source Types</t>
  </si>
  <si>
    <t>Source RA</t>
  </si>
  <si>
    <t>Sélectionner un indice d'isolement acoustique</t>
  </si>
  <si>
    <t>ACOUBOIS_2_int</t>
  </si>
  <si>
    <t>RQA_contrecolles</t>
  </si>
  <si>
    <t>PRO</t>
  </si>
  <si>
    <t>Façades : Référentiel Qualitel Acoustique</t>
  </si>
  <si>
    <t>Liteaux</t>
  </si>
  <si>
    <t>Pare pluie</t>
  </si>
  <si>
    <t>Contreventement</t>
  </si>
  <si>
    <t>Ossature</t>
  </si>
  <si>
    <t>Ossature secondaire</t>
  </si>
  <si>
    <t>Troisième isolant</t>
  </si>
  <si>
    <t>Parement</t>
  </si>
  <si>
    <t>Tasseaux</t>
  </si>
  <si>
    <t>Pare-Vapeur</t>
  </si>
  <si>
    <t>Ossature_contreventement_ext</t>
  </si>
  <si>
    <t>Bardage bois 21mm (assemblage rainure-languette)</t>
  </si>
  <si>
    <t>liteaux bois avec lame d'air de 25mm min</t>
  </si>
  <si>
    <t>Avec ou sans isolant rigide ou semi-igide en laine minérale 60mm mini entre ossatures</t>
  </si>
  <si>
    <t>OSB12mm (ρ&gt;600kg/m3)</t>
  </si>
  <si>
    <t>Bois 145x45mm mini, entraxe 400mm mini</t>
  </si>
  <si>
    <t>Semi-rigide laine minérale ou biosourcé épaisseur égale à ossature (140mm min)</t>
  </si>
  <si>
    <t>Horizontaux avec lame d'air 25mm mini, entraxe 400mm</t>
  </si>
  <si>
    <t>Ossature de 180mm</t>
  </si>
  <si>
    <t>Ossature de 220mm</t>
  </si>
  <si>
    <t>Ossature de 260mm</t>
  </si>
  <si>
    <t>Ossature de 600mm</t>
  </si>
  <si>
    <t>Horizontaux avec entraxe de 500mm</t>
  </si>
  <si>
    <t>Horizontaux avec laine minérale ou isolant biosourcé de 45mm sans isolation extérieure en laine minérale</t>
  </si>
  <si>
    <t xml:space="preserve">Horizontaux avec laine minérale ou isolant biosourcé de 45mm avec isolation ext. En laine minérale </t>
  </si>
  <si>
    <t>Verticaux avec lame d'air 25mm mini</t>
  </si>
  <si>
    <t>Profilés métalliques horizontaux ossature bois (omega ou Z)</t>
  </si>
  <si>
    <t>Fourrures métallliques avec appui ponctuel intermédaire, avec laine minérale ou isolant biosourcé 45mm</t>
  </si>
  <si>
    <t>Montants métallliques 48mm indépendants ossature bois, avec laine minérale ou isolant biosourcé 45mm</t>
  </si>
  <si>
    <t>Enduit sur polystyrène expansé de 60mm sous AT</t>
  </si>
  <si>
    <t>Ossature_contreventement_int</t>
  </si>
  <si>
    <t>éventuel</t>
  </si>
  <si>
    <t>OSB12mm</t>
  </si>
  <si>
    <t>Ossature bois 145x45mm mini, entraxe 600mm mini</t>
  </si>
  <si>
    <t>Semi-rigide laine minérale ou biosourcé épaisseur 140mm min</t>
  </si>
  <si>
    <t>Horizontaux de 40x45mm avec laine minérale ou isolant biosourcé 45mm</t>
  </si>
  <si>
    <t>Montants métallliques 48mm indépendants ossature bois</t>
  </si>
  <si>
    <t>Panneaux_massifs_contrecollés</t>
  </si>
  <si>
    <t>OUI</t>
  </si>
  <si>
    <t>Panneau bois lamellé croisé 94mm mini sous AT</t>
  </si>
  <si>
    <t>Ossature bois secondaire double croisée 70x50mm2</t>
  </si>
  <si>
    <t>Double couche isolant rigide ou semi-rigide laine minérale 70mm max entre ossatures bois secondaires</t>
  </si>
  <si>
    <t>Horizontaux ou verticaux avec laine minérale ou isolant biosourcé 45mm</t>
  </si>
  <si>
    <t>2BA14dB</t>
  </si>
  <si>
    <t>Sans</t>
  </si>
  <si>
    <t>MBM AW02</t>
  </si>
  <si>
    <t>Bardage extérieur bois 19mm</t>
  </si>
  <si>
    <t>Lattage bois (40/60) (40mm)</t>
  </si>
  <si>
    <t>Panneaux en bois BBS (3plis) (90mm)</t>
  </si>
  <si>
    <t>Isolant fibre de bois (22+140mm)</t>
  </si>
  <si>
    <t>MBM AW03</t>
  </si>
  <si>
    <t>MBM AW04a</t>
  </si>
  <si>
    <t>MBM AW04b</t>
  </si>
  <si>
    <t>MBM AW04c</t>
  </si>
  <si>
    <t>Isolant fibre de bois (22+200mm)</t>
  </si>
  <si>
    <t>MBM AW04d</t>
  </si>
  <si>
    <t>MBM AW04e</t>
  </si>
  <si>
    <t>Panneaux en bois BBS (5plis) (100mm)</t>
  </si>
  <si>
    <t>MBM AW04f</t>
  </si>
  <si>
    <t>MBM AW06</t>
  </si>
  <si>
    <t>Lattage bois (60/60)  (60mm)</t>
  </si>
  <si>
    <t>MBM AW09a</t>
  </si>
  <si>
    <t>Pare pluie ouvert à la diffusion sd&lt;0,3m</t>
  </si>
  <si>
    <t>Bois de construction (60/…) (160mm)</t>
  </si>
  <si>
    <t>Laine minérale (160mm)</t>
  </si>
  <si>
    <t>MBM AW09b</t>
  </si>
  <si>
    <t>Bois de construction (60/…) (200mm)</t>
  </si>
  <si>
    <t>Laine minérale (200mm)</t>
  </si>
  <si>
    <t>MBM AW09c</t>
  </si>
  <si>
    <t>MBM AW10a</t>
  </si>
  <si>
    <t>MBM AW10b</t>
  </si>
  <si>
    <t>MBM AW10c</t>
  </si>
  <si>
    <t>MBM AW11</t>
  </si>
  <si>
    <t>MBM AW12a</t>
  </si>
  <si>
    <t>Lattage bois (60/60)  (70mm) sur étrier</t>
  </si>
  <si>
    <t>MBM AW12b</t>
  </si>
  <si>
    <t>MBM AW12c</t>
  </si>
  <si>
    <t>MBM AW12d</t>
  </si>
  <si>
    <t>MBM AW13</t>
  </si>
  <si>
    <t>Crépi 6mm</t>
  </si>
  <si>
    <t>Isolant fibre de bois (120mm)</t>
  </si>
  <si>
    <t>MBM AW14</t>
  </si>
  <si>
    <t>MBM AW15</t>
  </si>
  <si>
    <t>Lattage bois (60/60) (60mm)</t>
  </si>
  <si>
    <t>MBM AW16</t>
  </si>
  <si>
    <t>MBM AW17</t>
  </si>
  <si>
    <t>Isolant fibre de bois (60mm)</t>
  </si>
  <si>
    <t>MBM AW18a</t>
  </si>
  <si>
    <t>MBM AW18b</t>
  </si>
  <si>
    <t>MBM AW19</t>
  </si>
  <si>
    <t>MBM AW20a</t>
  </si>
  <si>
    <t>MBM AW20b</t>
  </si>
  <si>
    <t>MBM AW20c</t>
  </si>
  <si>
    <t>Catalogue_photo</t>
  </si>
  <si>
    <t>RQA_ext</t>
  </si>
  <si>
    <t>RQA_int</t>
  </si>
  <si>
    <t>Sélectionner un type de façade bois</t>
  </si>
  <si>
    <t>Panneaux_bois_massif_placage_int.</t>
  </si>
  <si>
    <t>Recherche Façades Bois</t>
  </si>
  <si>
    <t>ACOUBOIS_1</t>
  </si>
  <si>
    <t>ACOUBOIS</t>
  </si>
  <si>
    <t>Résineux 21mm</t>
  </si>
  <si>
    <t>OSB 12mm</t>
  </si>
  <si>
    <t xml:space="preserve">145 x 45 mm </t>
  </si>
  <si>
    <t>Ext : Bois 27x32mm (entraxe 400mm) ; Int : Bois 27x50mm (entraxe 400mm)</t>
  </si>
  <si>
    <t>Laine de verre 145 mm (10kg/m3&lt;p&lt;20kg/m3)</t>
  </si>
  <si>
    <t>2BA13 Std</t>
  </si>
  <si>
    <t>ACOUBOIS_2</t>
  </si>
  <si>
    <t>Laine de roche 145 mm (50kg/m3&lt;p&lt;70kg/m3)</t>
  </si>
  <si>
    <t>ACOUBOIS_5</t>
  </si>
  <si>
    <t>Ext : Bois 27x32mm (entraxe 400mm) ; Int : Bois 45x50mm (entraxe 400mm)</t>
  </si>
  <si>
    <t>Int : Laine de roche 45 mm (28kg/m3&lt;p&lt;70kg/m3)</t>
  </si>
  <si>
    <t>1BA13 Std</t>
  </si>
  <si>
    <t>ACOUBOIS_6</t>
  </si>
  <si>
    <t>ACOUBOIS_4</t>
  </si>
  <si>
    <t>Ext : Bois 27x32mm  ; Int : Bois 45x50mm (entraxe 400mm)</t>
  </si>
  <si>
    <t>ACOUBOIS_3</t>
  </si>
  <si>
    <t>2BA18 Std</t>
  </si>
  <si>
    <t>ACOUBOIS_7</t>
  </si>
  <si>
    <t>Ext : Bois 27x32mm (entraxe 400mm) ; Int :R48-M48 (entraxe 600mm)</t>
  </si>
  <si>
    <t>Int : Laine de verre 45 mm (10kg/m3&lt;p&lt;20kg/m3)</t>
  </si>
  <si>
    <t>ACOUBOIS_9</t>
  </si>
  <si>
    <t>1BA13 Db</t>
  </si>
  <si>
    <t>ACOUBOIS_8</t>
  </si>
  <si>
    <t>2BA13 Db</t>
  </si>
  <si>
    <t>ACOUBOIS_19</t>
  </si>
  <si>
    <t>Ext : Bois 27x32mm (entraxe 400mm) ; Int : Bois 27x50mm (entraxe 600mm)</t>
  </si>
  <si>
    <t>Int : Laine de roche 60 mm double densité</t>
  </si>
  <si>
    <t>ACOUBOIS_18</t>
  </si>
  <si>
    <t>ACOUBOIS_30</t>
  </si>
  <si>
    <t>Contrelattage horizontal bois 60x50mm (entraxe 600mm)</t>
  </si>
  <si>
    <t>Laine de verre 145 mm (15kg/m3&lt;p&lt;25kg/m3)</t>
  </si>
  <si>
    <t>Ext : Laine de verre 75 mm (10kg/m3&lt;p&lt;20kg/m3)</t>
  </si>
  <si>
    <t>ACOUBOIS_27</t>
  </si>
  <si>
    <t>Ext : Laine de roche 60 mm double densité</t>
  </si>
  <si>
    <t>ACOUBOIS_26</t>
  </si>
  <si>
    <t>ACOUBOIS_29</t>
  </si>
  <si>
    <t>ACOUBOIS_32</t>
  </si>
  <si>
    <t>Ext : Bois 27x32mm (entraxe 400mm) ; Int : Fourrure MOB (entraxe 600mm)</t>
  </si>
  <si>
    <t>Laine de verre 150 mm (15kg/m3&lt;p&lt;25kg/m3)</t>
  </si>
  <si>
    <t>ACOUBOIS_31</t>
  </si>
  <si>
    <t>ACOUBOIS_37</t>
  </si>
  <si>
    <t>ACOUBOIS_35</t>
  </si>
  <si>
    <t>ACOUBOIS_36</t>
  </si>
  <si>
    <t>ACOUBOIS_34</t>
  </si>
  <si>
    <t>ACOUBOIS_24</t>
  </si>
  <si>
    <t>Ext : Laine de roche 60 mm double densité; Int : Laine de roche 45 mm (28kg/m3&lt;p&lt;70kg/m3)</t>
  </si>
  <si>
    <t>ACOUBOIS_22</t>
  </si>
  <si>
    <t>Ext : Bois 27x32mm (entraxe 400mm) ; Int : Bois 45x50mm (entraxe 600mm)</t>
  </si>
  <si>
    <t>ACOUBOIS_23</t>
  </si>
  <si>
    <t>ACOUBOIS_25</t>
  </si>
  <si>
    <t>Ext : Bois 27x32mm (entraxe 400mm) ; Int : Bois 70x50mm (entraxe 400mm)</t>
  </si>
  <si>
    <t>Ext : Laine de roche 60 mm double densité; Int :  Laine de roche 60 mm double densité</t>
  </si>
  <si>
    <t>ACOUBOIS_47</t>
  </si>
  <si>
    <t>Ouate de Cellulose 140 mm p=70kg/m3</t>
  </si>
  <si>
    <t>Ext : Fibres de bois 60 mm p=270kg/m3; Int :  Fibres textiles 45mm p=45kg/m3</t>
  </si>
  <si>
    <t>ACOUBOIS_42</t>
  </si>
  <si>
    <t>Fibres de bois + chanvre 140mm p=55kg/m3</t>
  </si>
  <si>
    <t>Ext : Fibres de bois 60 mm p=180kg/m3; Int :  Chanvre 45mm p=40kg/m3</t>
  </si>
  <si>
    <t>ACOUBOIS_48</t>
  </si>
  <si>
    <t>Ext : Bois 27x32mm (entraxe 400mm) ; Int : Fourrure MOB OPTIMA (entraxe 600mm)</t>
  </si>
  <si>
    <t>ACOUBOIS_49</t>
  </si>
  <si>
    <t>Ext : Bois 27x32mm (entraxe 400mm) ; Int : R48-M48 doublés (entraxe 600mm)</t>
  </si>
  <si>
    <t>ACOUBOIS_50</t>
  </si>
  <si>
    <t>145 x 45 mm à entraxe 600mm</t>
  </si>
  <si>
    <t>Ext : Fibres de bois 60 mm p=180kg/m3; Int :  Chanvre 45mm p=40kg/m4</t>
  </si>
  <si>
    <t>ACOUBOIS_21</t>
  </si>
  <si>
    <t xml:space="preserve">Ext : Bois 27x32mm (entraxe 400mm) ; Int : Bois 27x50mm </t>
  </si>
  <si>
    <t>ACOUBOIS_11</t>
  </si>
  <si>
    <t>Enduit ZOLPAN</t>
  </si>
  <si>
    <t>Int : Bois 27x50mm (entraxe 400mm)</t>
  </si>
  <si>
    <t>Ext : PSE 60mm p=20kg/m3</t>
  </si>
  <si>
    <t>ACOUBOIS_10</t>
  </si>
  <si>
    <t>ACOUBOIS_13</t>
  </si>
  <si>
    <t>Int : Fourrure MOB (entraxe 600mm)</t>
  </si>
  <si>
    <t>1BA13 dB</t>
  </si>
  <si>
    <t>ACOUBOIS_12</t>
  </si>
  <si>
    <t>2BA13 dB</t>
  </si>
  <si>
    <t>ACOUBOIS_59</t>
  </si>
  <si>
    <t>Contrelattage horizontal 70x50mm (entraxe 600mm)</t>
  </si>
  <si>
    <t>panneau bois contrecollé 94mm</t>
  </si>
  <si>
    <t>Ext : Bois 27x32mm</t>
  </si>
  <si>
    <t>Ext : Laine de verre 2x70 mm (10kg/m3&lt;p&lt;20kg/m3)</t>
  </si>
  <si>
    <t xml:space="preserve">OUI </t>
  </si>
  <si>
    <t>ACOUBOIS_58</t>
  </si>
  <si>
    <t>Ext : Bois 27x32mm; Int : Bois 27x50mm (entraxe 600mm)</t>
  </si>
  <si>
    <t>ACOUBOIS_60</t>
  </si>
  <si>
    <t>Ext : Bois 27x32mm; Int : Ossature métallique avec appui intermédiaire (entraxe 600mm)</t>
  </si>
  <si>
    <t>Int : Laine de verre 45 mm (10kg/m3&lt;p&lt;25kg/m3)</t>
  </si>
  <si>
    <t>ACOUBOIS_61</t>
  </si>
  <si>
    <t>RA,Tr/Rw pour MBM</t>
  </si>
  <si>
    <t>R_A,Tr / Rw pr MBM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</si>
</sst>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7030A0"/>
      <name val="ITC Avant Garde Std Bk"/>
      <family val="2"/>
    </font>
    <font>
      <sz val="11"/>
      <color theme="1"/>
      <name val="ITC Avant Garde Std Bk"/>
      <family val="2"/>
    </font>
    <font>
      <sz val="11"/>
      <color theme="0"/>
      <name val="ITC Avant Garde Std Bk"/>
      <family val="2"/>
    </font>
    <font>
      <b/>
      <sz val="16"/>
      <color theme="0"/>
      <name val="ITC Avant Garde Std Bk"/>
      <family val="2"/>
    </font>
    <font>
      <sz val="24"/>
      <color theme="0"/>
      <name val="ITC Avant Garde Std Bk"/>
      <family val="2"/>
    </font>
    <font>
      <sz val="11"/>
      <name val="ITC Avant Garde Std Bk"/>
      <family val="2"/>
    </font>
    <font>
      <sz val="28"/>
      <color theme="0"/>
      <name val="ITC Avant Garde Std Bk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DA6F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FE3"/>
        <bgColor indexed="64"/>
      </patternFill>
    </fill>
    <fill>
      <patternFill patternType="solid">
        <fgColor theme="9" tint="-0.49998474074526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thin">
        <color rgb="FF009FE3"/>
      </left>
      <right style="thin">
        <color rgb="FF009FE3"/>
      </right>
      <top style="thin">
        <color rgb="FF009FE3"/>
      </top>
      <bottom style="thin">
        <color rgb="FF009FE3"/>
      </bottom>
      <diagonal/>
    </border>
    <border>
      <left/>
      <right/>
      <top style="thin">
        <color rgb="FF009FE3"/>
      </top>
      <bottom style="thin">
        <color rgb="FF009FE3"/>
      </bottom>
      <diagonal/>
    </border>
    <border>
      <left/>
      <right style="thin">
        <color rgb="FF009FE3"/>
      </right>
      <top style="thin">
        <color rgb="FF009FE3"/>
      </top>
      <bottom style="thin">
        <color rgb="FF009FE3"/>
      </bottom>
      <diagonal/>
    </border>
    <border>
      <left/>
      <right style="thin">
        <color rgb="FF009FE3"/>
      </right>
      <top/>
      <bottom/>
      <diagonal/>
    </border>
    <border>
      <left style="thin">
        <color rgb="FF009FE3"/>
      </left>
      <right style="thin">
        <color rgb="FF009FE3"/>
      </right>
      <top style="thin">
        <color rgb="FF009FE3"/>
      </top>
      <bottom/>
      <diagonal/>
    </border>
    <border>
      <left style="thin">
        <color rgb="FF009FE3"/>
      </left>
      <right/>
      <top style="thin">
        <color rgb="FF009FE3"/>
      </top>
      <bottom/>
      <diagonal/>
    </border>
    <border>
      <left style="thin">
        <color rgb="FF009FE3"/>
      </left>
      <right style="thin">
        <color rgb="FF009FE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9FE3"/>
      </right>
      <top style="thin">
        <color rgb="FF009FE3"/>
      </top>
      <bottom/>
      <diagonal/>
    </border>
    <border>
      <left/>
      <right/>
      <top/>
      <bottom style="thin">
        <color rgb="FF009FE3"/>
      </bottom>
      <diagonal/>
    </border>
    <border>
      <left style="thin">
        <color indexed="64"/>
      </left>
      <right/>
      <top/>
      <bottom/>
      <diagonal/>
    </border>
    <border>
      <left style="thin">
        <color rgb="FF009FE3"/>
      </left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3" borderId="0" xfId="0" applyFill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0" fillId="3" borderId="0" xfId="0" applyFill="1"/>
    <xf numFmtId="0" fontId="4" fillId="3" borderId="0" xfId="0" applyFont="1" applyFill="1"/>
    <xf numFmtId="0" fontId="4" fillId="3" borderId="8" xfId="0" applyFont="1" applyFill="1" applyBorder="1"/>
    <xf numFmtId="0" fontId="8" fillId="9" borderId="0" xfId="0" applyFont="1" applyFill="1" applyAlignment="1">
      <alignment horizontal="center"/>
    </xf>
    <xf numFmtId="0" fontId="8" fillId="9" borderId="0" xfId="0" applyFont="1" applyFill="1"/>
    <xf numFmtId="0" fontId="0" fillId="3" borderId="6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5" xfId="0" applyFill="1" applyBorder="1"/>
    <xf numFmtId="0" fontId="0" fillId="3" borderId="11" xfId="0" applyFill="1" applyBorder="1"/>
    <xf numFmtId="0" fontId="5" fillId="10" borderId="9" xfId="0" applyFont="1" applyFill="1" applyBorder="1" applyAlignment="1">
      <alignment horizontal="center" vertical="center"/>
    </xf>
    <xf numFmtId="0" fontId="10" fillId="12" borderId="1" xfId="0" applyFont="1" applyFill="1" applyBorder="1"/>
    <xf numFmtId="0" fontId="10" fillId="12" borderId="2" xfId="0" applyFont="1" applyFill="1" applyBorder="1"/>
    <xf numFmtId="0" fontId="10" fillId="12" borderId="0" xfId="0" applyFont="1" applyFill="1"/>
    <xf numFmtId="0" fontId="0" fillId="2" borderId="0" xfId="0" applyFill="1"/>
    <xf numFmtId="0" fontId="12" fillId="3" borderId="0" xfId="0" applyFont="1" applyFill="1"/>
    <xf numFmtId="0" fontId="12" fillId="2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5" fillId="10" borderId="9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10" fillId="10" borderId="12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0" fillId="10" borderId="12" xfId="0" applyFont="1" applyFill="1" applyBorder="1" applyAlignment="1">
      <alignment horizontal="center" wrapText="1"/>
    </xf>
    <xf numFmtId="0" fontId="6" fillId="3" borderId="0" xfId="0" applyFont="1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7" fillId="10" borderId="7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Border="1" applyAlignment="1">
      <alignment horizontal="center" vertical="center" wrapText="1"/>
    </xf>
    <xf numFmtId="0" fontId="5" fillId="10" borderId="13" xfId="0" applyFont="1" applyFill="1" applyBorder="1" applyAlignment="1">
      <alignment horizontal="center" vertical="center" wrapText="1"/>
    </xf>
    <xf numFmtId="0" fontId="5" fillId="10" borderId="5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1" fillId="12" borderId="3" xfId="0" applyFont="1" applyFill="1" applyBorder="1" applyAlignment="1">
      <alignment horizontal="center"/>
    </xf>
    <xf numFmtId="0" fontId="11" fillId="12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9" fillId="10" borderId="5" xfId="0" applyFont="1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10" borderId="16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9FE3"/>
      <color rgb="FFA7F3F7"/>
      <color rgb="FFDDA6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3</xdr:row>
          <xdr:rowOff>203200</xdr:rowOff>
        </xdr:from>
        <xdr:to>
          <xdr:col>6</xdr:col>
          <xdr:colOff>368300</xdr:colOff>
          <xdr:row>3</xdr:row>
          <xdr:rowOff>584200</xdr:rowOff>
        </xdr:to>
        <xdr:sp macro="" textlink="">
          <xdr:nvSpPr>
            <xdr:cNvPr id="2052" name="liste_typ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196850</xdr:rowOff>
        </xdr:from>
        <xdr:to>
          <xdr:col>9</xdr:col>
          <xdr:colOff>685800</xdr:colOff>
          <xdr:row>3</xdr:row>
          <xdr:rowOff>596900</xdr:rowOff>
        </xdr:to>
        <xdr:sp macro="" textlink="">
          <xdr:nvSpPr>
            <xdr:cNvPr id="2053" name="liste_R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116417</xdr:colOff>
      <xdr:row>3</xdr:row>
      <xdr:rowOff>52916</xdr:rowOff>
    </xdr:from>
    <xdr:to>
      <xdr:col>0</xdr:col>
      <xdr:colOff>2730500</xdr:colOff>
      <xdr:row>3</xdr:row>
      <xdr:rowOff>730250</xdr:rowOff>
    </xdr:to>
    <xdr:sp macro="[0]!afficheImage" textlink="">
      <xdr:nvSpPr>
        <xdr:cNvPr id="8125" name="Rectangle 8124">
          <a:extLst>
            <a:ext uri="{FF2B5EF4-FFF2-40B4-BE49-F238E27FC236}">
              <a16:creationId xmlns:a16="http://schemas.microsoft.com/office/drawing/2014/main" id="{00000000-0008-0000-0100-0000BD1F0000}"/>
            </a:ext>
          </a:extLst>
        </xdr:cNvPr>
        <xdr:cNvSpPr/>
      </xdr:nvSpPr>
      <xdr:spPr>
        <a:xfrm>
          <a:off x="116417" y="1280583"/>
          <a:ext cx="2614083" cy="677334"/>
        </a:xfrm>
        <a:prstGeom prst="rect">
          <a:avLst/>
        </a:prstGeom>
        <a:solidFill>
          <a:srgbClr val="009FE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i="0">
              <a:latin typeface="ITC Avant Garde Std Bk" panose="020B0502020202020204" pitchFamily="34" charset="0"/>
            </a:rPr>
            <a:t>Cliquer pour afficher les schémas</a:t>
          </a:r>
        </a:p>
      </xdr:txBody>
    </xdr:sp>
    <xdr:clientData/>
  </xdr:twoCellAnchor>
  <xdr:twoCellAnchor editAs="oneCell">
    <xdr:from>
      <xdr:col>0</xdr:col>
      <xdr:colOff>571500</xdr:colOff>
      <xdr:row>0</xdr:row>
      <xdr:rowOff>127000</xdr:rowOff>
    </xdr:from>
    <xdr:to>
      <xdr:col>0</xdr:col>
      <xdr:colOff>2233083</xdr:colOff>
      <xdr:row>2</xdr:row>
      <xdr:rowOff>641283</xdr:rowOff>
    </xdr:to>
    <xdr:pic>
      <xdr:nvPicPr>
        <xdr:cNvPr id="10369" name="Image 10368">
          <a:extLst>
            <a:ext uri="{FF2B5EF4-FFF2-40B4-BE49-F238E27FC236}">
              <a16:creationId xmlns:a16="http://schemas.microsoft.com/office/drawing/2014/main" id="{00000000-0008-0000-0100-0000812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27000"/>
          <a:ext cx="1661583" cy="10222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CBE50-94A3-45ED-AFC5-C38616EBF614}">
  <sheetPr codeName="Feuil2"/>
  <dimension ref="A1:R1428"/>
  <sheetViews>
    <sheetView topLeftCell="M447" workbookViewId="0">
      <selection activeCell="N462" sqref="N462"/>
    </sheetView>
  </sheetViews>
  <sheetFormatPr baseColWidth="10" defaultRowHeight="14.5"/>
  <cols>
    <col min="1" max="1" width="63.54296875" style="4" customWidth="1"/>
    <col min="2" max="3" width="28.81640625" style="4" customWidth="1"/>
    <col min="4" max="4" width="18.453125" customWidth="1"/>
    <col min="5" max="5" width="24.90625" customWidth="1"/>
    <col min="6" max="6" width="43.54296875" customWidth="1"/>
    <col min="8" max="8" width="44.81640625" customWidth="1"/>
    <col min="9" max="9" width="60.08984375" customWidth="1"/>
    <col min="10" max="10" width="25.08984375" customWidth="1"/>
    <col min="11" max="11" width="35.90625" customWidth="1"/>
    <col min="12" max="12" width="75" customWidth="1"/>
    <col min="13" max="13" width="42.26953125" customWidth="1"/>
    <col min="14" max="14" width="80.81640625" customWidth="1"/>
    <col min="15" max="15" width="28.453125" customWidth="1"/>
    <col min="16" max="16" width="43.08984375" customWidth="1"/>
    <col min="17" max="17" width="90.81640625" customWidth="1"/>
    <col min="22" max="22" width="31.6328125" customWidth="1"/>
    <col min="23" max="23" width="24.1796875" customWidth="1"/>
  </cols>
  <sheetData>
    <row r="1" spans="1:18" ht="19" thickBot="1">
      <c r="A1"/>
      <c r="B1"/>
      <c r="C1"/>
      <c r="E1" s="48" t="s">
        <v>29</v>
      </c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</row>
    <row r="2" spans="1:18" ht="15" thickBot="1">
      <c r="A2"/>
      <c r="B2" s="16" t="s">
        <v>21</v>
      </c>
      <c r="C2" s="16" t="s">
        <v>122</v>
      </c>
      <c r="D2" s="16" t="s">
        <v>0</v>
      </c>
      <c r="E2" s="16" t="s">
        <v>220</v>
      </c>
      <c r="F2" s="16" t="s">
        <v>2</v>
      </c>
      <c r="G2" s="16" t="s">
        <v>4</v>
      </c>
      <c r="H2" s="16" t="s">
        <v>30</v>
      </c>
      <c r="I2" s="16" t="s">
        <v>31</v>
      </c>
      <c r="J2" s="16" t="s">
        <v>32</v>
      </c>
      <c r="K2" s="16" t="s">
        <v>33</v>
      </c>
      <c r="L2" s="16" t="s">
        <v>34</v>
      </c>
      <c r="M2" s="16" t="s">
        <v>3</v>
      </c>
      <c r="N2" s="16" t="s">
        <v>6</v>
      </c>
      <c r="O2" s="16" t="s">
        <v>35</v>
      </c>
      <c r="P2" s="16" t="s">
        <v>36</v>
      </c>
      <c r="Q2" s="17" t="s">
        <v>37</v>
      </c>
      <c r="R2" s="18" t="s">
        <v>38</v>
      </c>
    </row>
    <row r="3" spans="1:18">
      <c r="A3" s="19" t="str">
        <f>E3&amp;"_"&amp;COUNTIF(E$3:$E3,E3)&amp;"_"&amp;F3</f>
        <v>36_1_Ossature_contreventement_ext</v>
      </c>
      <c r="B3" s="19">
        <v>1</v>
      </c>
      <c r="C3" s="19" t="s">
        <v>123</v>
      </c>
      <c r="D3" s="19" t="s">
        <v>7</v>
      </c>
      <c r="E3" s="19">
        <v>36</v>
      </c>
      <c r="F3" s="19" t="s">
        <v>39</v>
      </c>
      <c r="G3" s="19" t="s">
        <v>40</v>
      </c>
      <c r="H3" s="19" t="s">
        <v>41</v>
      </c>
      <c r="I3" s="19" t="s">
        <v>42</v>
      </c>
      <c r="J3" s="19" t="s">
        <v>43</v>
      </c>
      <c r="K3" s="19" t="s">
        <v>44</v>
      </c>
      <c r="L3" s="19"/>
      <c r="M3" s="19" t="s">
        <v>45</v>
      </c>
      <c r="N3" s="19"/>
      <c r="O3" s="19"/>
      <c r="P3" s="19" t="s">
        <v>8</v>
      </c>
      <c r="Q3" s="19" t="s">
        <v>46</v>
      </c>
      <c r="R3" s="19"/>
    </row>
    <row r="4" spans="1:18">
      <c r="A4" s="19" t="str">
        <f>E4&amp;"_"&amp;COUNTIF(E$3:$E4,E4)&amp;"_"&amp;F4</f>
        <v>37_1_Ossature_contreventement_ext</v>
      </c>
      <c r="B4" s="19">
        <v>2</v>
      </c>
      <c r="C4" s="19" t="s">
        <v>123</v>
      </c>
      <c r="D4" s="19" t="s">
        <v>7</v>
      </c>
      <c r="E4" s="5">
        <v>37</v>
      </c>
      <c r="F4" s="5" t="s">
        <v>39</v>
      </c>
      <c r="G4" s="5" t="s">
        <v>40</v>
      </c>
      <c r="H4" s="5" t="s">
        <v>41</v>
      </c>
      <c r="I4" s="5" t="s">
        <v>42</v>
      </c>
      <c r="J4" s="5" t="s">
        <v>43</v>
      </c>
      <c r="K4" s="5" t="s">
        <v>47</v>
      </c>
      <c r="L4" s="5"/>
      <c r="M4" s="5" t="s">
        <v>45</v>
      </c>
      <c r="N4" s="5"/>
      <c r="O4" s="5"/>
      <c r="P4" s="5" t="s">
        <v>8</v>
      </c>
      <c r="Q4" s="5" t="s">
        <v>46</v>
      </c>
      <c r="R4" s="5"/>
    </row>
    <row r="5" spans="1:18">
      <c r="A5" s="19" t="str">
        <f>E5&amp;"_"&amp;COUNTIF(E$3:$E5,E5)&amp;"_"&amp;F5</f>
        <v>38_1_Ossature_contreventement_ext</v>
      </c>
      <c r="B5" s="19">
        <v>3</v>
      </c>
      <c r="C5" s="19" t="s">
        <v>123</v>
      </c>
      <c r="D5" s="19" t="s">
        <v>7</v>
      </c>
      <c r="E5" s="5">
        <v>38</v>
      </c>
      <c r="F5" s="5" t="s">
        <v>39</v>
      </c>
      <c r="G5" s="5" t="s">
        <v>40</v>
      </c>
      <c r="H5" s="5" t="s">
        <v>41</v>
      </c>
      <c r="I5" s="5" t="s">
        <v>42</v>
      </c>
      <c r="J5" s="5" t="s">
        <v>43</v>
      </c>
      <c r="K5" s="5" t="s">
        <v>48</v>
      </c>
      <c r="L5" s="5"/>
      <c r="M5" s="5" t="s">
        <v>45</v>
      </c>
      <c r="N5" s="5"/>
      <c r="O5" s="5"/>
      <c r="P5" s="5" t="s">
        <v>8</v>
      </c>
      <c r="Q5" s="5" t="s">
        <v>46</v>
      </c>
      <c r="R5" s="5"/>
    </row>
    <row r="6" spans="1:18">
      <c r="A6" s="19" t="str">
        <f>E6&amp;"_"&amp;COUNTIF(E$3:$E6,E6)&amp;"_"&amp;F6</f>
        <v>39_1_Ossature_contreventement_ext</v>
      </c>
      <c r="B6" s="19">
        <v>4</v>
      </c>
      <c r="C6" s="19" t="s">
        <v>123</v>
      </c>
      <c r="D6" s="19" t="s">
        <v>7</v>
      </c>
      <c r="E6" s="5">
        <v>39</v>
      </c>
      <c r="F6" s="5" t="s">
        <v>39</v>
      </c>
      <c r="G6" s="5" t="s">
        <v>40</v>
      </c>
      <c r="H6" s="5" t="s">
        <v>41</v>
      </c>
      <c r="I6" s="5" t="s">
        <v>42</v>
      </c>
      <c r="J6" s="5" t="s">
        <v>43</v>
      </c>
      <c r="K6" s="5" t="s">
        <v>49</v>
      </c>
      <c r="L6" s="5"/>
      <c r="M6" s="5" t="s">
        <v>45</v>
      </c>
      <c r="N6" s="5"/>
      <c r="O6" s="5"/>
      <c r="P6" s="5" t="s">
        <v>8</v>
      </c>
      <c r="Q6" s="5" t="s">
        <v>46</v>
      </c>
      <c r="R6" s="5"/>
    </row>
    <row r="7" spans="1:18">
      <c r="A7" s="19" t="str">
        <f>E7&amp;"_"&amp;COUNTIF(E$3:$E7,E7)&amp;"_"&amp;F7</f>
        <v>37_2_Ossature_contreventement_ext</v>
      </c>
      <c r="B7" s="19">
        <v>5</v>
      </c>
      <c r="C7" s="19" t="s">
        <v>123</v>
      </c>
      <c r="D7" s="19" t="s">
        <v>7</v>
      </c>
      <c r="E7" s="5">
        <v>37</v>
      </c>
      <c r="F7" s="5" t="s">
        <v>39</v>
      </c>
      <c r="G7" s="5" t="s">
        <v>40</v>
      </c>
      <c r="H7" s="5" t="s">
        <v>41</v>
      </c>
      <c r="I7" s="5" t="s">
        <v>42</v>
      </c>
      <c r="J7" s="5" t="s">
        <v>43</v>
      </c>
      <c r="K7" s="5" t="s">
        <v>50</v>
      </c>
      <c r="L7" s="5"/>
      <c r="M7" s="5" t="s">
        <v>45</v>
      </c>
      <c r="N7" s="5"/>
      <c r="O7" s="5"/>
      <c r="P7" s="5" t="s">
        <v>8</v>
      </c>
      <c r="Q7" s="5" t="s">
        <v>46</v>
      </c>
      <c r="R7" s="5"/>
    </row>
    <row r="8" spans="1:18">
      <c r="A8" s="19" t="str">
        <f>E8&amp;"_"&amp;COUNTIF(E$3:$E8,E8)&amp;"_"&amp;F8</f>
        <v>33_1_Ossature_contreventement_ext</v>
      </c>
      <c r="B8" s="19">
        <v>6</v>
      </c>
      <c r="C8" s="19" t="s">
        <v>123</v>
      </c>
      <c r="D8" s="19" t="s">
        <v>7</v>
      </c>
      <c r="E8" s="19">
        <v>33</v>
      </c>
      <c r="F8" s="19" t="s">
        <v>39</v>
      </c>
      <c r="G8" s="19" t="s">
        <v>40</v>
      </c>
      <c r="H8" s="19" t="s">
        <v>41</v>
      </c>
      <c r="I8" s="19" t="s">
        <v>42</v>
      </c>
      <c r="J8" s="19" t="s">
        <v>43</v>
      </c>
      <c r="K8" s="19" t="s">
        <v>44</v>
      </c>
      <c r="L8" s="19"/>
      <c r="M8" s="19" t="s">
        <v>45</v>
      </c>
      <c r="N8" s="19"/>
      <c r="O8" s="19"/>
      <c r="P8" s="19" t="s">
        <v>9</v>
      </c>
      <c r="Q8" s="19" t="s">
        <v>46</v>
      </c>
      <c r="R8" s="19"/>
    </row>
    <row r="9" spans="1:18">
      <c r="A9" s="19" t="str">
        <f>E9&amp;"_"&amp;COUNTIF(E$3:$E9,E9)&amp;"_"&amp;F9</f>
        <v>35_1_Ossature_contreventement_ext</v>
      </c>
      <c r="B9" s="19">
        <v>7</v>
      </c>
      <c r="C9" s="19" t="s">
        <v>123</v>
      </c>
      <c r="D9" s="19" t="s">
        <v>7</v>
      </c>
      <c r="E9" s="19">
        <v>35</v>
      </c>
      <c r="F9" s="19" t="s">
        <v>39</v>
      </c>
      <c r="G9" s="19" t="s">
        <v>40</v>
      </c>
      <c r="H9" s="19" t="s">
        <v>41</v>
      </c>
      <c r="I9" s="19" t="s">
        <v>42</v>
      </c>
      <c r="J9" s="19" t="s">
        <v>43</v>
      </c>
      <c r="K9" s="19" t="s">
        <v>44</v>
      </c>
      <c r="L9" s="19"/>
      <c r="M9" s="19" t="s">
        <v>45</v>
      </c>
      <c r="N9" s="19"/>
      <c r="O9" s="19"/>
      <c r="P9" s="19" t="s">
        <v>10</v>
      </c>
      <c r="Q9" s="19" t="s">
        <v>46</v>
      </c>
      <c r="R9" s="19"/>
    </row>
    <row r="10" spans="1:18">
      <c r="A10" s="19" t="str">
        <f>E10&amp;"_"&amp;COUNTIF(E$3:$E10,E10)&amp;"_"&amp;F10</f>
        <v>34_1_Ossature_contreventement_ext</v>
      </c>
      <c r="B10" s="19">
        <v>8</v>
      </c>
      <c r="C10" s="19" t="s">
        <v>123</v>
      </c>
      <c r="D10" s="19" t="s">
        <v>7</v>
      </c>
      <c r="E10" s="19">
        <v>34</v>
      </c>
      <c r="F10" s="19" t="s">
        <v>39</v>
      </c>
      <c r="G10" s="19" t="s">
        <v>40</v>
      </c>
      <c r="H10" s="19" t="s">
        <v>41</v>
      </c>
      <c r="I10" s="19" t="s">
        <v>42</v>
      </c>
      <c r="J10" s="19" t="s">
        <v>43</v>
      </c>
      <c r="K10" s="19" t="s">
        <v>44</v>
      </c>
      <c r="L10" s="19"/>
      <c r="M10" s="19" t="s">
        <v>45</v>
      </c>
      <c r="N10" s="19"/>
      <c r="O10" s="19"/>
      <c r="P10" s="19" t="s">
        <v>11</v>
      </c>
      <c r="Q10" s="19" t="s">
        <v>46</v>
      </c>
      <c r="R10" s="19"/>
    </row>
    <row r="11" spans="1:18">
      <c r="A11" s="19" t="str">
        <f>E11&amp;"_"&amp;COUNTIF(E$3:$E11,E11)&amp;"_"&amp;F11</f>
        <v>35_2_Ossature_contreventement_ext</v>
      </c>
      <c r="B11" s="19">
        <v>9</v>
      </c>
      <c r="C11" s="19" t="s">
        <v>123</v>
      </c>
      <c r="D11" s="19" t="s">
        <v>7</v>
      </c>
      <c r="E11" s="19">
        <v>35</v>
      </c>
      <c r="F11" s="19" t="s">
        <v>39</v>
      </c>
      <c r="G11" s="19" t="s">
        <v>40</v>
      </c>
      <c r="H11" s="19" t="s">
        <v>41</v>
      </c>
      <c r="I11" s="19" t="s">
        <v>42</v>
      </c>
      <c r="J11" s="19" t="s">
        <v>43</v>
      </c>
      <c r="K11" s="19" t="s">
        <v>44</v>
      </c>
      <c r="L11" s="19"/>
      <c r="M11" s="19" t="s">
        <v>45</v>
      </c>
      <c r="N11" s="19"/>
      <c r="O11" s="19"/>
      <c r="P11" s="19" t="s">
        <v>12</v>
      </c>
      <c r="Q11" s="19" t="s">
        <v>46</v>
      </c>
      <c r="R11" s="19"/>
    </row>
    <row r="12" spans="1:18">
      <c r="A12" s="19" t="str">
        <f>E12&amp;"_"&amp;COUNTIF(E$3:$E12,E12)&amp;"_"&amp;F12</f>
        <v>37_3_Ossature_contreventement_ext</v>
      </c>
      <c r="B12" s="19">
        <v>10</v>
      </c>
      <c r="C12" s="19" t="s">
        <v>123</v>
      </c>
      <c r="D12" s="19" t="s">
        <v>7</v>
      </c>
      <c r="E12" s="19">
        <v>37</v>
      </c>
      <c r="F12" s="19" t="s">
        <v>39</v>
      </c>
      <c r="G12" s="19" t="s">
        <v>40</v>
      </c>
      <c r="H12" s="19" t="s">
        <v>41</v>
      </c>
      <c r="I12" s="19" t="s">
        <v>42</v>
      </c>
      <c r="J12" s="19" t="s">
        <v>43</v>
      </c>
      <c r="K12" s="19" t="s">
        <v>44</v>
      </c>
      <c r="L12" s="19"/>
      <c r="M12" s="19" t="s">
        <v>45</v>
      </c>
      <c r="N12" s="19"/>
      <c r="O12" s="19"/>
      <c r="P12" s="19" t="s">
        <v>13</v>
      </c>
      <c r="Q12" s="19" t="s">
        <v>46</v>
      </c>
      <c r="R12" s="19"/>
    </row>
    <row r="13" spans="1:18">
      <c r="A13" s="19" t="str">
        <f>E13&amp;"_"&amp;COUNTIF(E$3:$E13,E13)&amp;"_"&amp;F13</f>
        <v>38_2_Ossature_contreventement_ext</v>
      </c>
      <c r="B13" s="19">
        <v>11</v>
      </c>
      <c r="C13" s="19" t="s">
        <v>123</v>
      </c>
      <c r="D13" s="19" t="s">
        <v>7</v>
      </c>
      <c r="E13" s="19">
        <v>38</v>
      </c>
      <c r="F13" s="19" t="s">
        <v>39</v>
      </c>
      <c r="G13" s="19" t="s">
        <v>40</v>
      </c>
      <c r="H13" s="19" t="s">
        <v>41</v>
      </c>
      <c r="I13" s="19" t="s">
        <v>42</v>
      </c>
      <c r="J13" s="19" t="s">
        <v>43</v>
      </c>
      <c r="K13" s="19" t="s">
        <v>44</v>
      </c>
      <c r="L13" s="19"/>
      <c r="M13" s="19" t="s">
        <v>45</v>
      </c>
      <c r="N13" s="19"/>
      <c r="O13" s="19"/>
      <c r="P13" s="19" t="s">
        <v>14</v>
      </c>
      <c r="Q13" s="19" t="s">
        <v>46</v>
      </c>
      <c r="R13" s="19"/>
    </row>
    <row r="14" spans="1:18">
      <c r="A14" s="19" t="str">
        <f>E14&amp;"_"&amp;COUNTIF(E$3:$E14,E14)&amp;"_"&amp;F14</f>
        <v>36_2_Ossature_contreventement_ext</v>
      </c>
      <c r="B14" s="19">
        <v>12</v>
      </c>
      <c r="C14" s="19" t="s">
        <v>123</v>
      </c>
      <c r="D14" s="19" t="s">
        <v>7</v>
      </c>
      <c r="E14" s="5">
        <v>36</v>
      </c>
      <c r="F14" s="5" t="s">
        <v>39</v>
      </c>
      <c r="G14" s="5" t="s">
        <v>40</v>
      </c>
      <c r="H14" s="5" t="s">
        <v>41</v>
      </c>
      <c r="I14" s="5" t="s">
        <v>42</v>
      </c>
      <c r="J14" s="5" t="s">
        <v>43</v>
      </c>
      <c r="K14" s="5" t="s">
        <v>44</v>
      </c>
      <c r="L14" s="5"/>
      <c r="M14" s="5" t="s">
        <v>45</v>
      </c>
      <c r="N14" s="5"/>
      <c r="O14" s="5"/>
      <c r="P14" s="5" t="s">
        <v>8</v>
      </c>
      <c r="Q14" s="5" t="s">
        <v>51</v>
      </c>
      <c r="R14" s="5"/>
    </row>
    <row r="15" spans="1:18">
      <c r="A15" s="19" t="str">
        <f>E15&amp;"_"&amp;COUNTIF(E$3:$E15,E15)&amp;"_"&amp;F15</f>
        <v>36_3_Ossature_contreventement_ext</v>
      </c>
      <c r="B15" s="19">
        <v>13</v>
      </c>
      <c r="C15" s="19" t="s">
        <v>123</v>
      </c>
      <c r="D15" s="19" t="s">
        <v>7</v>
      </c>
      <c r="E15" s="5">
        <v>36</v>
      </c>
      <c r="F15" s="5" t="s">
        <v>39</v>
      </c>
      <c r="G15" s="5" t="s">
        <v>40</v>
      </c>
      <c r="H15" s="5" t="s">
        <v>41</v>
      </c>
      <c r="I15" s="5" t="s">
        <v>42</v>
      </c>
      <c r="J15" s="5" t="s">
        <v>43</v>
      </c>
      <c r="K15" s="5" t="s">
        <v>44</v>
      </c>
      <c r="L15" s="5"/>
      <c r="M15" s="5" t="s">
        <v>45</v>
      </c>
      <c r="N15" s="5"/>
      <c r="O15" s="5"/>
      <c r="P15" s="5" t="s">
        <v>8</v>
      </c>
      <c r="Q15" s="5" t="s">
        <v>52</v>
      </c>
      <c r="R15" s="5"/>
    </row>
    <row r="16" spans="1:18">
      <c r="A16" s="19" t="str">
        <f>E16&amp;"_"&amp;COUNTIF(E$3:$E16,E16)&amp;"_"&amp;F16</f>
        <v>37_4_Ossature_contreventement_ext</v>
      </c>
      <c r="B16" s="19">
        <v>14</v>
      </c>
      <c r="C16" s="19" t="s">
        <v>123</v>
      </c>
      <c r="D16" s="19" t="s">
        <v>7</v>
      </c>
      <c r="E16" s="5">
        <v>37</v>
      </c>
      <c r="F16" s="5" t="s">
        <v>39</v>
      </c>
      <c r="G16" s="5" t="s">
        <v>40</v>
      </c>
      <c r="H16" s="5" t="s">
        <v>41</v>
      </c>
      <c r="I16" s="5" t="s">
        <v>42</v>
      </c>
      <c r="J16" s="5" t="s">
        <v>43</v>
      </c>
      <c r="K16" s="5" t="s">
        <v>44</v>
      </c>
      <c r="L16" s="5"/>
      <c r="M16" s="5" t="s">
        <v>45</v>
      </c>
      <c r="N16" s="5"/>
      <c r="O16" s="5"/>
      <c r="P16" s="5" t="s">
        <v>8</v>
      </c>
      <c r="Q16" s="5" t="s">
        <v>53</v>
      </c>
      <c r="R16" s="5"/>
    </row>
    <row r="17" spans="1:18">
      <c r="A17" s="19" t="str">
        <f>E17&amp;"_"&amp;COUNTIF(E$3:$E17,E17)&amp;"_"&amp;F17</f>
        <v>35_3_Ossature_contreventement_ext</v>
      </c>
      <c r="B17" s="19">
        <v>15</v>
      </c>
      <c r="C17" s="19" t="s">
        <v>123</v>
      </c>
      <c r="D17" s="19" t="s">
        <v>7</v>
      </c>
      <c r="E17" s="5">
        <v>35</v>
      </c>
      <c r="F17" s="5" t="s">
        <v>39</v>
      </c>
      <c r="G17" s="5" t="s">
        <v>40</v>
      </c>
      <c r="H17" s="5" t="s">
        <v>41</v>
      </c>
      <c r="I17" s="5" t="s">
        <v>42</v>
      </c>
      <c r="J17" s="5" t="s">
        <v>43</v>
      </c>
      <c r="K17" s="5" t="s">
        <v>44</v>
      </c>
      <c r="L17" s="5"/>
      <c r="M17" s="5" t="s">
        <v>45</v>
      </c>
      <c r="N17" s="5"/>
      <c r="O17" s="5"/>
      <c r="P17" s="5" t="s">
        <v>8</v>
      </c>
      <c r="Q17" s="5" t="s">
        <v>54</v>
      </c>
      <c r="R17" s="5"/>
    </row>
    <row r="18" spans="1:18">
      <c r="A18" s="19" t="str">
        <f>E18&amp;"_"&amp;COUNTIF(E$3:$E18,E18)&amp;"_"&amp;F18</f>
        <v>39_2_Ossature_contreventement_ext</v>
      </c>
      <c r="B18" s="19">
        <v>16</v>
      </c>
      <c r="C18" s="19" t="s">
        <v>123</v>
      </c>
      <c r="D18" s="19" t="s">
        <v>7</v>
      </c>
      <c r="E18" s="5">
        <v>39</v>
      </c>
      <c r="F18" s="5" t="s">
        <v>39</v>
      </c>
      <c r="G18" s="5" t="s">
        <v>40</v>
      </c>
      <c r="H18" s="5" t="s">
        <v>41</v>
      </c>
      <c r="I18" s="5" t="s">
        <v>42</v>
      </c>
      <c r="J18" s="5" t="s">
        <v>43</v>
      </c>
      <c r="K18" s="5" t="s">
        <v>44</v>
      </c>
      <c r="L18" s="5"/>
      <c r="M18" s="5" t="s">
        <v>45</v>
      </c>
      <c r="N18" s="5"/>
      <c r="O18" s="5"/>
      <c r="P18" s="5" t="s">
        <v>8</v>
      </c>
      <c r="Q18" s="5" t="s">
        <v>55</v>
      </c>
      <c r="R18" s="5"/>
    </row>
    <row r="19" spans="1:18">
      <c r="A19" s="19" t="str">
        <f>E19&amp;"_"&amp;COUNTIF(E$3:$E19,E19)&amp;"_"&amp;F19</f>
        <v>48_1_Ossature_contreventement_ext</v>
      </c>
      <c r="B19" s="19">
        <v>17</v>
      </c>
      <c r="C19" s="19" t="s">
        <v>123</v>
      </c>
      <c r="D19" s="19" t="s">
        <v>7</v>
      </c>
      <c r="E19" s="5">
        <v>48</v>
      </c>
      <c r="F19" s="5" t="s">
        <v>39</v>
      </c>
      <c r="G19" s="5" t="s">
        <v>40</v>
      </c>
      <c r="H19" s="5" t="s">
        <v>41</v>
      </c>
      <c r="I19" s="5" t="s">
        <v>42</v>
      </c>
      <c r="J19" s="5" t="s">
        <v>43</v>
      </c>
      <c r="K19" s="5" t="s">
        <v>44</v>
      </c>
      <c r="L19" s="5"/>
      <c r="M19" s="5" t="s">
        <v>45</v>
      </c>
      <c r="N19" s="5"/>
      <c r="O19" s="5"/>
      <c r="P19" s="5" t="s">
        <v>8</v>
      </c>
      <c r="Q19" s="5" t="s">
        <v>56</v>
      </c>
      <c r="R19" s="5"/>
    </row>
    <row r="20" spans="1:18">
      <c r="A20" s="19" t="str">
        <f>E20&amp;"_"&amp;COUNTIF(E$3:$E20,E20)&amp;"_"&amp;F20</f>
        <v>49_1_Ossature_contreventement_ext</v>
      </c>
      <c r="B20" s="19">
        <v>18</v>
      </c>
      <c r="C20" s="19" t="s">
        <v>123</v>
      </c>
      <c r="D20" s="19" t="s">
        <v>7</v>
      </c>
      <c r="E20" s="5">
        <v>49</v>
      </c>
      <c r="F20" s="5" t="s">
        <v>39</v>
      </c>
      <c r="G20" s="5" t="s">
        <v>40</v>
      </c>
      <c r="H20" s="5" t="s">
        <v>41</v>
      </c>
      <c r="I20" s="5" t="s">
        <v>42</v>
      </c>
      <c r="J20" s="5" t="s">
        <v>43</v>
      </c>
      <c r="K20" s="5" t="s">
        <v>44</v>
      </c>
      <c r="L20" s="5"/>
      <c r="M20" s="5" t="s">
        <v>45</v>
      </c>
      <c r="N20" s="5"/>
      <c r="O20" s="5"/>
      <c r="P20" s="5" t="s">
        <v>8</v>
      </c>
      <c r="Q20" s="5" t="s">
        <v>57</v>
      </c>
      <c r="R20" s="5"/>
    </row>
    <row r="21" spans="1:18">
      <c r="A21" s="19" t="str">
        <f>E21&amp;"_"&amp;COUNTIF(E$3:$E21,E21)&amp;"_"&amp;F21</f>
        <v>35_4_Ossature_contreventement_ext</v>
      </c>
      <c r="B21" s="19">
        <v>19</v>
      </c>
      <c r="C21" s="19" t="s">
        <v>123</v>
      </c>
      <c r="D21" s="19" t="s">
        <v>7</v>
      </c>
      <c r="E21" s="19">
        <v>35</v>
      </c>
      <c r="F21" s="19" t="s">
        <v>39</v>
      </c>
      <c r="G21" s="19" t="s">
        <v>58</v>
      </c>
      <c r="H21" s="19" t="s">
        <v>41</v>
      </c>
      <c r="I21" s="19" t="s">
        <v>42</v>
      </c>
      <c r="J21" s="19" t="s">
        <v>43</v>
      </c>
      <c r="K21" s="19" t="s">
        <v>44</v>
      </c>
      <c r="L21" s="19"/>
      <c r="M21" s="19" t="s">
        <v>45</v>
      </c>
      <c r="N21" s="19"/>
      <c r="O21" s="19"/>
      <c r="P21" s="19" t="s">
        <v>8</v>
      </c>
      <c r="Q21" s="19" t="s">
        <v>46</v>
      </c>
      <c r="R21" s="19"/>
    </row>
    <row r="22" spans="1:18">
      <c r="A22" s="19" t="str">
        <f>E22&amp;"_"&amp;COUNTIF(E$3:$E22,E22)&amp;"_"&amp;F22</f>
        <v>36_4_Ossature_contreventement_ext</v>
      </c>
      <c r="B22" s="19">
        <v>20</v>
      </c>
      <c r="C22" s="19" t="s">
        <v>123</v>
      </c>
      <c r="D22" s="19" t="s">
        <v>7</v>
      </c>
      <c r="E22" s="5">
        <v>36</v>
      </c>
      <c r="F22" s="5" t="s">
        <v>39</v>
      </c>
      <c r="G22" s="5" t="s">
        <v>58</v>
      </c>
      <c r="H22" s="5" t="s">
        <v>41</v>
      </c>
      <c r="I22" s="5" t="s">
        <v>42</v>
      </c>
      <c r="J22" s="5" t="s">
        <v>43</v>
      </c>
      <c r="K22" s="5" t="s">
        <v>47</v>
      </c>
      <c r="L22" s="5"/>
      <c r="M22" s="5" t="s">
        <v>45</v>
      </c>
      <c r="N22" s="5"/>
      <c r="O22" s="5"/>
      <c r="P22" s="5" t="s">
        <v>8</v>
      </c>
      <c r="Q22" s="5" t="s">
        <v>46</v>
      </c>
      <c r="R22" s="5"/>
    </row>
    <row r="23" spans="1:18">
      <c r="A23" s="19" t="str">
        <f>E23&amp;"_"&amp;COUNTIF(E$3:$E23,E23)&amp;"_"&amp;F23</f>
        <v>37_5_Ossature_contreventement_ext</v>
      </c>
      <c r="B23" s="19">
        <v>21</v>
      </c>
      <c r="C23" s="19" t="s">
        <v>123</v>
      </c>
      <c r="D23" s="19" t="s">
        <v>7</v>
      </c>
      <c r="E23" s="5">
        <v>37</v>
      </c>
      <c r="F23" s="5" t="s">
        <v>39</v>
      </c>
      <c r="G23" s="5" t="s">
        <v>58</v>
      </c>
      <c r="H23" s="5" t="s">
        <v>41</v>
      </c>
      <c r="I23" s="5" t="s">
        <v>42</v>
      </c>
      <c r="J23" s="5" t="s">
        <v>43</v>
      </c>
      <c r="K23" s="5" t="s">
        <v>48</v>
      </c>
      <c r="L23" s="5"/>
      <c r="M23" s="5" t="s">
        <v>45</v>
      </c>
      <c r="N23" s="5"/>
      <c r="O23" s="5"/>
      <c r="P23" s="5" t="s">
        <v>8</v>
      </c>
      <c r="Q23" s="5" t="s">
        <v>46</v>
      </c>
      <c r="R23" s="5"/>
    </row>
    <row r="24" spans="1:18">
      <c r="A24" s="19" t="str">
        <f>E24&amp;"_"&amp;COUNTIF(E$3:$E24,E24)&amp;"_"&amp;F24</f>
        <v>38_3_Ossature_contreventement_ext</v>
      </c>
      <c r="B24" s="19">
        <v>22</v>
      </c>
      <c r="C24" s="19" t="s">
        <v>123</v>
      </c>
      <c r="D24" s="19" t="s">
        <v>7</v>
      </c>
      <c r="E24" s="5">
        <v>38</v>
      </c>
      <c r="F24" s="5" t="s">
        <v>39</v>
      </c>
      <c r="G24" s="5" t="s">
        <v>58</v>
      </c>
      <c r="H24" s="5" t="s">
        <v>41</v>
      </c>
      <c r="I24" s="5" t="s">
        <v>42</v>
      </c>
      <c r="J24" s="5" t="s">
        <v>43</v>
      </c>
      <c r="K24" s="5" t="s">
        <v>49</v>
      </c>
      <c r="L24" s="5"/>
      <c r="M24" s="5" t="s">
        <v>45</v>
      </c>
      <c r="N24" s="5"/>
      <c r="O24" s="5"/>
      <c r="P24" s="5" t="s">
        <v>8</v>
      </c>
      <c r="Q24" s="5" t="s">
        <v>46</v>
      </c>
      <c r="R24" s="5"/>
    </row>
    <row r="25" spans="1:18">
      <c r="A25" s="19" t="str">
        <f>E25&amp;"_"&amp;COUNTIF(E$3:$E25,E25)&amp;"_"&amp;F25</f>
        <v>36_5_Ossature_contreventement_ext</v>
      </c>
      <c r="B25" s="19">
        <v>23</v>
      </c>
      <c r="C25" s="19" t="s">
        <v>123</v>
      </c>
      <c r="D25" s="19" t="s">
        <v>7</v>
      </c>
      <c r="E25" s="5">
        <v>36</v>
      </c>
      <c r="F25" s="5" t="s">
        <v>39</v>
      </c>
      <c r="G25" s="5" t="s">
        <v>58</v>
      </c>
      <c r="H25" s="5" t="s">
        <v>41</v>
      </c>
      <c r="I25" s="5" t="s">
        <v>42</v>
      </c>
      <c r="J25" s="5" t="s">
        <v>43</v>
      </c>
      <c r="K25" s="5" t="s">
        <v>50</v>
      </c>
      <c r="L25" s="5"/>
      <c r="M25" s="5" t="s">
        <v>45</v>
      </c>
      <c r="N25" s="5"/>
      <c r="O25" s="5"/>
      <c r="P25" s="5" t="s">
        <v>8</v>
      </c>
      <c r="Q25" s="5" t="s">
        <v>46</v>
      </c>
      <c r="R25" s="5"/>
    </row>
    <row r="26" spans="1:18">
      <c r="A26" s="19" t="str">
        <f>E26&amp;"_"&amp;COUNTIF(E$3:$E26,E26)&amp;"_"&amp;F26</f>
        <v>32_1_Ossature_contreventement_ext</v>
      </c>
      <c r="B26" s="19">
        <v>24</v>
      </c>
      <c r="C26" s="19" t="s">
        <v>123</v>
      </c>
      <c r="D26" s="19" t="s">
        <v>7</v>
      </c>
      <c r="E26" s="19">
        <v>32</v>
      </c>
      <c r="F26" s="19" t="s">
        <v>39</v>
      </c>
      <c r="G26" s="19" t="s">
        <v>58</v>
      </c>
      <c r="H26" s="19" t="s">
        <v>41</v>
      </c>
      <c r="I26" s="19" t="s">
        <v>42</v>
      </c>
      <c r="J26" s="19" t="s">
        <v>43</v>
      </c>
      <c r="K26" s="19" t="s">
        <v>44</v>
      </c>
      <c r="L26" s="19"/>
      <c r="M26" s="19" t="s">
        <v>45</v>
      </c>
      <c r="N26" s="19"/>
      <c r="O26" s="19"/>
      <c r="P26" s="19" t="s">
        <v>9</v>
      </c>
      <c r="Q26" s="19" t="s">
        <v>46</v>
      </c>
      <c r="R26" s="19"/>
    </row>
    <row r="27" spans="1:18">
      <c r="A27" s="19" t="str">
        <f>E27&amp;"_"&amp;COUNTIF(E$3:$E27,E27)&amp;"_"&amp;F27</f>
        <v>34_2_Ossature_contreventement_ext</v>
      </c>
      <c r="B27" s="19">
        <v>25</v>
      </c>
      <c r="C27" s="19" t="s">
        <v>123</v>
      </c>
      <c r="D27" s="19" t="s">
        <v>7</v>
      </c>
      <c r="E27" s="19">
        <v>34</v>
      </c>
      <c r="F27" s="19" t="s">
        <v>39</v>
      </c>
      <c r="G27" s="19" t="s">
        <v>58</v>
      </c>
      <c r="H27" s="19" t="s">
        <v>41</v>
      </c>
      <c r="I27" s="19" t="s">
        <v>42</v>
      </c>
      <c r="J27" s="19" t="s">
        <v>43</v>
      </c>
      <c r="K27" s="19" t="s">
        <v>44</v>
      </c>
      <c r="L27" s="19"/>
      <c r="M27" s="19" t="s">
        <v>45</v>
      </c>
      <c r="N27" s="19"/>
      <c r="O27" s="19"/>
      <c r="P27" s="19" t="s">
        <v>10</v>
      </c>
      <c r="Q27" s="19" t="s">
        <v>46</v>
      </c>
      <c r="R27" s="19"/>
    </row>
    <row r="28" spans="1:18">
      <c r="A28" s="19" t="str">
        <f>E28&amp;"_"&amp;COUNTIF(E$3:$E28,E28)&amp;"_"&amp;F28</f>
        <v>33_2_Ossature_contreventement_ext</v>
      </c>
      <c r="B28" s="19">
        <v>26</v>
      </c>
      <c r="C28" s="19" t="s">
        <v>123</v>
      </c>
      <c r="D28" s="19" t="s">
        <v>7</v>
      </c>
      <c r="E28" s="19">
        <v>33</v>
      </c>
      <c r="F28" s="19" t="s">
        <v>39</v>
      </c>
      <c r="G28" s="19" t="s">
        <v>58</v>
      </c>
      <c r="H28" s="19" t="s">
        <v>41</v>
      </c>
      <c r="I28" s="19" t="s">
        <v>42</v>
      </c>
      <c r="J28" s="19" t="s">
        <v>43</v>
      </c>
      <c r="K28" s="19" t="s">
        <v>44</v>
      </c>
      <c r="L28" s="19"/>
      <c r="M28" s="19" t="s">
        <v>45</v>
      </c>
      <c r="N28" s="19"/>
      <c r="O28" s="19"/>
      <c r="P28" s="19" t="s">
        <v>11</v>
      </c>
      <c r="Q28" s="19" t="s">
        <v>46</v>
      </c>
      <c r="R28" s="19"/>
    </row>
    <row r="29" spans="1:18">
      <c r="A29" s="19" t="str">
        <f>E29&amp;"_"&amp;COUNTIF(E$3:$E29,E29)&amp;"_"&amp;F29</f>
        <v>34_3_Ossature_contreventement_ext</v>
      </c>
      <c r="B29" s="19">
        <v>27</v>
      </c>
      <c r="C29" s="19" t="s">
        <v>123</v>
      </c>
      <c r="D29" s="19" t="s">
        <v>7</v>
      </c>
      <c r="E29" s="19">
        <v>34</v>
      </c>
      <c r="F29" s="19" t="s">
        <v>39</v>
      </c>
      <c r="G29" s="19" t="s">
        <v>58</v>
      </c>
      <c r="H29" s="19" t="s">
        <v>41</v>
      </c>
      <c r="I29" s="19" t="s">
        <v>42</v>
      </c>
      <c r="J29" s="19" t="s">
        <v>43</v>
      </c>
      <c r="K29" s="19" t="s">
        <v>44</v>
      </c>
      <c r="L29" s="19"/>
      <c r="M29" s="19" t="s">
        <v>45</v>
      </c>
      <c r="N29" s="19"/>
      <c r="O29" s="19"/>
      <c r="P29" s="19" t="s">
        <v>12</v>
      </c>
      <c r="Q29" s="19" t="s">
        <v>46</v>
      </c>
      <c r="R29" s="19"/>
    </row>
    <row r="30" spans="1:18">
      <c r="A30" s="19" t="str">
        <f>E30&amp;"_"&amp;COUNTIF(E$3:$E30,E30)&amp;"_"&amp;F30</f>
        <v>36_6_Ossature_contreventement_ext</v>
      </c>
      <c r="B30" s="19">
        <v>28</v>
      </c>
      <c r="C30" s="19" t="s">
        <v>123</v>
      </c>
      <c r="D30" s="19" t="s">
        <v>7</v>
      </c>
      <c r="E30" s="19">
        <v>36</v>
      </c>
      <c r="F30" s="19" t="s">
        <v>39</v>
      </c>
      <c r="G30" s="19" t="s">
        <v>58</v>
      </c>
      <c r="H30" s="19" t="s">
        <v>41</v>
      </c>
      <c r="I30" s="19" t="s">
        <v>42</v>
      </c>
      <c r="J30" s="19" t="s">
        <v>43</v>
      </c>
      <c r="K30" s="19" t="s">
        <v>44</v>
      </c>
      <c r="L30" s="19"/>
      <c r="M30" s="19" t="s">
        <v>45</v>
      </c>
      <c r="N30" s="19"/>
      <c r="O30" s="19"/>
      <c r="P30" s="19" t="s">
        <v>13</v>
      </c>
      <c r="Q30" s="19" t="s">
        <v>46</v>
      </c>
      <c r="R30" s="19"/>
    </row>
    <row r="31" spans="1:18">
      <c r="A31" s="19" t="str">
        <f>E31&amp;"_"&amp;COUNTIF(E$3:$E31,E31)&amp;"_"&amp;F31</f>
        <v>37_6_Ossature_contreventement_ext</v>
      </c>
      <c r="B31" s="19">
        <v>29</v>
      </c>
      <c r="C31" s="19" t="s">
        <v>123</v>
      </c>
      <c r="D31" s="19" t="s">
        <v>7</v>
      </c>
      <c r="E31" s="19">
        <v>37</v>
      </c>
      <c r="F31" s="19" t="s">
        <v>39</v>
      </c>
      <c r="G31" s="19" t="s">
        <v>58</v>
      </c>
      <c r="H31" s="19" t="s">
        <v>41</v>
      </c>
      <c r="I31" s="19" t="s">
        <v>42</v>
      </c>
      <c r="J31" s="19" t="s">
        <v>43</v>
      </c>
      <c r="K31" s="19" t="s">
        <v>44</v>
      </c>
      <c r="L31" s="19"/>
      <c r="M31" s="19" t="s">
        <v>45</v>
      </c>
      <c r="N31" s="19"/>
      <c r="O31" s="19"/>
      <c r="P31" s="19" t="s">
        <v>14</v>
      </c>
      <c r="Q31" s="19" t="s">
        <v>46</v>
      </c>
      <c r="R31" s="19"/>
    </row>
    <row r="32" spans="1:18">
      <c r="A32" s="19" t="str">
        <f>E32&amp;"_"&amp;COUNTIF(E$3:$E32,E32)&amp;"_"&amp;F32</f>
        <v>35_5_Ossature_contreventement_ext</v>
      </c>
      <c r="B32" s="19">
        <v>30</v>
      </c>
      <c r="C32" s="19" t="s">
        <v>123</v>
      </c>
      <c r="D32" s="19" t="s">
        <v>7</v>
      </c>
      <c r="E32" s="5">
        <v>35</v>
      </c>
      <c r="F32" s="5" t="s">
        <v>39</v>
      </c>
      <c r="G32" s="5" t="s">
        <v>58</v>
      </c>
      <c r="H32" s="5" t="s">
        <v>41</v>
      </c>
      <c r="I32" s="5" t="s">
        <v>42</v>
      </c>
      <c r="J32" s="5" t="s">
        <v>43</v>
      </c>
      <c r="K32" s="5" t="s">
        <v>44</v>
      </c>
      <c r="L32" s="5"/>
      <c r="M32" s="5" t="s">
        <v>45</v>
      </c>
      <c r="N32" s="5"/>
      <c r="O32" s="5"/>
      <c r="P32" s="5" t="s">
        <v>8</v>
      </c>
      <c r="Q32" s="5" t="s">
        <v>51</v>
      </c>
      <c r="R32" s="5"/>
    </row>
    <row r="33" spans="1:18">
      <c r="A33" s="19" t="str">
        <f>E33&amp;"_"&amp;COUNTIF(E$3:$E33,E33)&amp;"_"&amp;F33</f>
        <v>35_6_Ossature_contreventement_ext</v>
      </c>
      <c r="B33" s="19">
        <v>31</v>
      </c>
      <c r="C33" s="19" t="s">
        <v>123</v>
      </c>
      <c r="D33" s="19" t="s">
        <v>7</v>
      </c>
      <c r="E33" s="5">
        <v>35</v>
      </c>
      <c r="F33" s="5" t="s">
        <v>39</v>
      </c>
      <c r="G33" s="5" t="s">
        <v>58</v>
      </c>
      <c r="H33" s="5" t="s">
        <v>41</v>
      </c>
      <c r="I33" s="5" t="s">
        <v>42</v>
      </c>
      <c r="J33" s="5" t="s">
        <v>43</v>
      </c>
      <c r="K33" s="5" t="s">
        <v>44</v>
      </c>
      <c r="L33" s="5"/>
      <c r="M33" s="5" t="s">
        <v>45</v>
      </c>
      <c r="N33" s="5"/>
      <c r="O33" s="5"/>
      <c r="P33" s="5" t="s">
        <v>8</v>
      </c>
      <c r="Q33" s="5" t="s">
        <v>52</v>
      </c>
      <c r="R33" s="5"/>
    </row>
    <row r="34" spans="1:18">
      <c r="A34" s="19" t="str">
        <f>E34&amp;"_"&amp;COUNTIF(E$3:$E34,E34)&amp;"_"&amp;F34</f>
        <v>36_7_Ossature_contreventement_ext</v>
      </c>
      <c r="B34" s="19">
        <v>32</v>
      </c>
      <c r="C34" s="19" t="s">
        <v>123</v>
      </c>
      <c r="D34" s="19" t="s">
        <v>7</v>
      </c>
      <c r="E34" s="5">
        <v>36</v>
      </c>
      <c r="F34" s="5" t="s">
        <v>39</v>
      </c>
      <c r="G34" s="5" t="s">
        <v>58</v>
      </c>
      <c r="H34" s="5" t="s">
        <v>41</v>
      </c>
      <c r="I34" s="5" t="s">
        <v>42</v>
      </c>
      <c r="J34" s="5" t="s">
        <v>43</v>
      </c>
      <c r="K34" s="5" t="s">
        <v>44</v>
      </c>
      <c r="L34" s="5"/>
      <c r="M34" s="5" t="s">
        <v>45</v>
      </c>
      <c r="N34" s="5"/>
      <c r="O34" s="5"/>
      <c r="P34" s="5" t="s">
        <v>8</v>
      </c>
      <c r="Q34" s="5" t="s">
        <v>53</v>
      </c>
      <c r="R34" s="5"/>
    </row>
    <row r="35" spans="1:18">
      <c r="A35" s="19" t="str">
        <f>E35&amp;"_"&amp;COUNTIF(E$3:$E35,E35)&amp;"_"&amp;F35</f>
        <v>34_4_Ossature_contreventement_ext</v>
      </c>
      <c r="B35" s="19">
        <v>33</v>
      </c>
      <c r="C35" s="19" t="s">
        <v>123</v>
      </c>
      <c r="D35" s="19" t="s">
        <v>7</v>
      </c>
      <c r="E35" s="5">
        <v>34</v>
      </c>
      <c r="F35" s="5" t="s">
        <v>39</v>
      </c>
      <c r="G35" s="5" t="s">
        <v>58</v>
      </c>
      <c r="H35" s="5" t="s">
        <v>41</v>
      </c>
      <c r="I35" s="5" t="s">
        <v>42</v>
      </c>
      <c r="J35" s="5" t="s">
        <v>43</v>
      </c>
      <c r="K35" s="5" t="s">
        <v>44</v>
      </c>
      <c r="L35" s="5"/>
      <c r="M35" s="5" t="s">
        <v>45</v>
      </c>
      <c r="N35" s="5"/>
      <c r="O35" s="5"/>
      <c r="P35" s="5" t="s">
        <v>8</v>
      </c>
      <c r="Q35" s="5" t="s">
        <v>54</v>
      </c>
      <c r="R35" s="5"/>
    </row>
    <row r="36" spans="1:18">
      <c r="A36" s="19" t="str">
        <f>E36&amp;"_"&amp;COUNTIF(E$3:$E36,E36)&amp;"_"&amp;F36</f>
        <v>38_4_Ossature_contreventement_ext</v>
      </c>
      <c r="B36" s="19">
        <v>34</v>
      </c>
      <c r="C36" s="19" t="s">
        <v>123</v>
      </c>
      <c r="D36" s="19" t="s">
        <v>7</v>
      </c>
      <c r="E36" s="5">
        <v>38</v>
      </c>
      <c r="F36" s="5" t="s">
        <v>39</v>
      </c>
      <c r="G36" s="5" t="s">
        <v>58</v>
      </c>
      <c r="H36" s="5" t="s">
        <v>41</v>
      </c>
      <c r="I36" s="5" t="s">
        <v>42</v>
      </c>
      <c r="J36" s="5" t="s">
        <v>43</v>
      </c>
      <c r="K36" s="5" t="s">
        <v>44</v>
      </c>
      <c r="L36" s="5"/>
      <c r="M36" s="5" t="s">
        <v>45</v>
      </c>
      <c r="N36" s="5"/>
      <c r="O36" s="5"/>
      <c r="P36" s="5" t="s">
        <v>8</v>
      </c>
      <c r="Q36" s="5" t="s">
        <v>55</v>
      </c>
      <c r="R36" s="5"/>
    </row>
    <row r="37" spans="1:18">
      <c r="A37" s="19" t="str">
        <f>E37&amp;"_"&amp;COUNTIF(E$3:$E37,E37)&amp;"_"&amp;F37</f>
        <v>47_1_Ossature_contreventement_ext</v>
      </c>
      <c r="B37" s="19">
        <v>35</v>
      </c>
      <c r="C37" s="19" t="s">
        <v>123</v>
      </c>
      <c r="D37" s="19" t="s">
        <v>7</v>
      </c>
      <c r="E37" s="5">
        <v>47</v>
      </c>
      <c r="F37" s="5" t="s">
        <v>39</v>
      </c>
      <c r="G37" s="5" t="s">
        <v>58</v>
      </c>
      <c r="H37" s="5" t="s">
        <v>41</v>
      </c>
      <c r="I37" s="5" t="s">
        <v>42</v>
      </c>
      <c r="J37" s="5" t="s">
        <v>43</v>
      </c>
      <c r="K37" s="5" t="s">
        <v>44</v>
      </c>
      <c r="L37" s="5"/>
      <c r="M37" s="5" t="s">
        <v>45</v>
      </c>
      <c r="N37" s="5"/>
      <c r="O37" s="5"/>
      <c r="P37" s="5" t="s">
        <v>8</v>
      </c>
      <c r="Q37" s="5" t="s">
        <v>56</v>
      </c>
      <c r="R37" s="5"/>
    </row>
    <row r="38" spans="1:18">
      <c r="A38" s="19" t="str">
        <f>E38&amp;"_"&amp;COUNTIF(E$3:$E38,E38)&amp;"_"&amp;F38</f>
        <v>48_2_Ossature_contreventement_ext</v>
      </c>
      <c r="B38" s="19">
        <v>36</v>
      </c>
      <c r="C38" s="19" t="s">
        <v>123</v>
      </c>
      <c r="D38" s="19" t="s">
        <v>7</v>
      </c>
      <c r="E38" s="5">
        <v>48</v>
      </c>
      <c r="F38" s="5" t="s">
        <v>39</v>
      </c>
      <c r="G38" s="5" t="s">
        <v>58</v>
      </c>
      <c r="H38" s="5" t="s">
        <v>41</v>
      </c>
      <c r="I38" s="5" t="s">
        <v>42</v>
      </c>
      <c r="J38" s="5" t="s">
        <v>43</v>
      </c>
      <c r="K38" s="5" t="s">
        <v>44</v>
      </c>
      <c r="L38" s="5"/>
      <c r="M38" s="5" t="s">
        <v>45</v>
      </c>
      <c r="N38" s="5"/>
      <c r="O38" s="5"/>
      <c r="P38" s="5" t="s">
        <v>8</v>
      </c>
      <c r="Q38" s="5" t="s">
        <v>57</v>
      </c>
      <c r="R38" s="5"/>
    </row>
    <row r="39" spans="1:18">
      <c r="A39" s="19" t="str">
        <f>E39&amp;"_"&amp;COUNTIF(E$3:$E39,E39)&amp;"_"&amp;F39</f>
        <v>34_5_Ossature_contreventement_ext</v>
      </c>
      <c r="B39" s="19">
        <v>37</v>
      </c>
      <c r="C39" s="19" t="s">
        <v>123</v>
      </c>
      <c r="D39" s="19" t="s">
        <v>7</v>
      </c>
      <c r="E39" s="19">
        <v>34</v>
      </c>
      <c r="F39" s="19" t="s">
        <v>39</v>
      </c>
      <c r="G39" s="19" t="s">
        <v>40</v>
      </c>
      <c r="H39" s="19" t="s">
        <v>41</v>
      </c>
      <c r="I39" s="19" t="s">
        <v>42</v>
      </c>
      <c r="J39" s="19" t="s">
        <v>43</v>
      </c>
      <c r="K39" s="19" t="s">
        <v>47</v>
      </c>
      <c r="L39" s="19"/>
      <c r="M39" s="19" t="s">
        <v>45</v>
      </c>
      <c r="N39" s="19"/>
      <c r="O39" s="19"/>
      <c r="P39" s="19" t="s">
        <v>9</v>
      </c>
      <c r="Q39" s="19" t="s">
        <v>46</v>
      </c>
      <c r="R39" s="19"/>
    </row>
    <row r="40" spans="1:18">
      <c r="A40" s="19" t="str">
        <f>E40&amp;"_"&amp;COUNTIF(E$3:$E40,E40)&amp;"_"&amp;F40</f>
        <v>36_8_Ossature_contreventement_ext</v>
      </c>
      <c r="B40" s="19">
        <v>38</v>
      </c>
      <c r="C40" s="19" t="s">
        <v>123</v>
      </c>
      <c r="D40" s="19" t="s">
        <v>7</v>
      </c>
      <c r="E40" s="19">
        <v>36</v>
      </c>
      <c r="F40" s="19" t="s">
        <v>39</v>
      </c>
      <c r="G40" s="19" t="s">
        <v>40</v>
      </c>
      <c r="H40" s="19" t="s">
        <v>41</v>
      </c>
      <c r="I40" s="19" t="s">
        <v>42</v>
      </c>
      <c r="J40" s="19" t="s">
        <v>43</v>
      </c>
      <c r="K40" s="19" t="s">
        <v>47</v>
      </c>
      <c r="L40" s="19"/>
      <c r="M40" s="19" t="s">
        <v>45</v>
      </c>
      <c r="N40" s="19"/>
      <c r="O40" s="19"/>
      <c r="P40" s="19" t="s">
        <v>10</v>
      </c>
      <c r="Q40" s="19" t="s">
        <v>46</v>
      </c>
      <c r="R40" s="19"/>
    </row>
    <row r="41" spans="1:18">
      <c r="A41" s="19" t="str">
        <f>E41&amp;"_"&amp;COUNTIF(E$3:$E41,E41)&amp;"_"&amp;F41</f>
        <v>35_7_Ossature_contreventement_ext</v>
      </c>
      <c r="B41" s="19">
        <v>39</v>
      </c>
      <c r="C41" s="19" t="s">
        <v>123</v>
      </c>
      <c r="D41" s="19" t="s">
        <v>7</v>
      </c>
      <c r="E41" s="19">
        <v>35</v>
      </c>
      <c r="F41" s="19" t="s">
        <v>39</v>
      </c>
      <c r="G41" s="19" t="s">
        <v>40</v>
      </c>
      <c r="H41" s="19" t="s">
        <v>41</v>
      </c>
      <c r="I41" s="19" t="s">
        <v>42</v>
      </c>
      <c r="J41" s="19" t="s">
        <v>43</v>
      </c>
      <c r="K41" s="19" t="s">
        <v>47</v>
      </c>
      <c r="L41" s="19"/>
      <c r="M41" s="19" t="s">
        <v>45</v>
      </c>
      <c r="N41" s="19"/>
      <c r="O41" s="19"/>
      <c r="P41" s="19" t="s">
        <v>11</v>
      </c>
      <c r="Q41" s="19" t="s">
        <v>46</v>
      </c>
      <c r="R41" s="19"/>
    </row>
    <row r="42" spans="1:18">
      <c r="A42" s="19" t="str">
        <f>E42&amp;"_"&amp;COUNTIF(E$3:$E42,E42)&amp;"_"&amp;F42</f>
        <v>36_9_Ossature_contreventement_ext</v>
      </c>
      <c r="B42" s="19">
        <v>40</v>
      </c>
      <c r="C42" s="19" t="s">
        <v>123</v>
      </c>
      <c r="D42" s="19" t="s">
        <v>7</v>
      </c>
      <c r="E42" s="19">
        <v>36</v>
      </c>
      <c r="F42" s="19" t="s">
        <v>39</v>
      </c>
      <c r="G42" s="19" t="s">
        <v>40</v>
      </c>
      <c r="H42" s="19" t="s">
        <v>41</v>
      </c>
      <c r="I42" s="19" t="s">
        <v>42</v>
      </c>
      <c r="J42" s="19" t="s">
        <v>43</v>
      </c>
      <c r="K42" s="19" t="s">
        <v>47</v>
      </c>
      <c r="L42" s="19"/>
      <c r="M42" s="19" t="s">
        <v>45</v>
      </c>
      <c r="N42" s="19"/>
      <c r="O42" s="19"/>
      <c r="P42" s="19" t="s">
        <v>12</v>
      </c>
      <c r="Q42" s="19" t="s">
        <v>46</v>
      </c>
      <c r="R42" s="19"/>
    </row>
    <row r="43" spans="1:18">
      <c r="A43" s="19" t="str">
        <f>E43&amp;"_"&amp;COUNTIF(E$3:$E43,E43)&amp;"_"&amp;F43</f>
        <v>38_5_Ossature_contreventement_ext</v>
      </c>
      <c r="B43" s="19">
        <v>41</v>
      </c>
      <c r="C43" s="19" t="s">
        <v>123</v>
      </c>
      <c r="D43" s="19" t="s">
        <v>7</v>
      </c>
      <c r="E43" s="19">
        <v>38</v>
      </c>
      <c r="F43" s="19" t="s">
        <v>39</v>
      </c>
      <c r="G43" s="19" t="s">
        <v>40</v>
      </c>
      <c r="H43" s="19" t="s">
        <v>41</v>
      </c>
      <c r="I43" s="19" t="s">
        <v>42</v>
      </c>
      <c r="J43" s="19" t="s">
        <v>43</v>
      </c>
      <c r="K43" s="19" t="s">
        <v>47</v>
      </c>
      <c r="L43" s="19"/>
      <c r="M43" s="19" t="s">
        <v>45</v>
      </c>
      <c r="N43" s="19"/>
      <c r="O43" s="19"/>
      <c r="P43" s="19" t="s">
        <v>13</v>
      </c>
      <c r="Q43" s="19" t="s">
        <v>46</v>
      </c>
      <c r="R43" s="19"/>
    </row>
    <row r="44" spans="1:18">
      <c r="A44" s="19" t="str">
        <f>E44&amp;"_"&amp;COUNTIF(E$3:$E44,E44)&amp;"_"&amp;F44</f>
        <v>39_3_Ossature_contreventement_ext</v>
      </c>
      <c r="B44" s="19">
        <v>42</v>
      </c>
      <c r="C44" s="19" t="s">
        <v>123</v>
      </c>
      <c r="D44" s="19" t="s">
        <v>7</v>
      </c>
      <c r="E44" s="19">
        <v>39</v>
      </c>
      <c r="F44" s="19" t="s">
        <v>39</v>
      </c>
      <c r="G44" s="19" t="s">
        <v>40</v>
      </c>
      <c r="H44" s="19" t="s">
        <v>41</v>
      </c>
      <c r="I44" s="19" t="s">
        <v>42</v>
      </c>
      <c r="J44" s="19" t="s">
        <v>43</v>
      </c>
      <c r="K44" s="19" t="s">
        <v>47</v>
      </c>
      <c r="L44" s="19"/>
      <c r="M44" s="19" t="s">
        <v>45</v>
      </c>
      <c r="N44" s="19"/>
      <c r="O44" s="19"/>
      <c r="P44" s="19" t="s">
        <v>14</v>
      </c>
      <c r="Q44" s="19" t="s">
        <v>46</v>
      </c>
      <c r="R44" s="19"/>
    </row>
    <row r="45" spans="1:18">
      <c r="A45" s="19" t="str">
        <f>E45&amp;"_"&amp;COUNTIF(E$3:$E45,E45)&amp;"_"&amp;F45</f>
        <v>35_8_Ossature_contreventement_ext</v>
      </c>
      <c r="B45" s="19">
        <v>43</v>
      </c>
      <c r="C45" s="19" t="s">
        <v>123</v>
      </c>
      <c r="D45" s="19" t="s">
        <v>7</v>
      </c>
      <c r="E45" s="5">
        <v>35</v>
      </c>
      <c r="F45" s="5" t="s">
        <v>39</v>
      </c>
      <c r="G45" s="5" t="s">
        <v>40</v>
      </c>
      <c r="H45" s="5" t="s">
        <v>41</v>
      </c>
      <c r="I45" s="5" t="s">
        <v>42</v>
      </c>
      <c r="J45" s="5" t="s">
        <v>43</v>
      </c>
      <c r="K45" s="5" t="s">
        <v>48</v>
      </c>
      <c r="L45" s="5"/>
      <c r="M45" s="5" t="s">
        <v>45</v>
      </c>
      <c r="N45" s="5"/>
      <c r="O45" s="5"/>
      <c r="P45" s="5" t="s">
        <v>9</v>
      </c>
      <c r="Q45" s="19" t="s">
        <v>46</v>
      </c>
      <c r="R45" s="5"/>
    </row>
    <row r="46" spans="1:18">
      <c r="A46" s="19" t="str">
        <f>E46&amp;"_"&amp;COUNTIF(E$3:$E46,E46)&amp;"_"&amp;F46</f>
        <v>37_7_Ossature_contreventement_ext</v>
      </c>
      <c r="B46" s="19">
        <v>44</v>
      </c>
      <c r="C46" s="19" t="s">
        <v>123</v>
      </c>
      <c r="D46" s="19" t="s">
        <v>7</v>
      </c>
      <c r="E46" s="5">
        <v>37</v>
      </c>
      <c r="F46" s="5" t="s">
        <v>39</v>
      </c>
      <c r="G46" s="5" t="s">
        <v>40</v>
      </c>
      <c r="H46" s="5" t="s">
        <v>41</v>
      </c>
      <c r="I46" s="5" t="s">
        <v>42</v>
      </c>
      <c r="J46" s="5" t="s">
        <v>43</v>
      </c>
      <c r="K46" s="5" t="s">
        <v>48</v>
      </c>
      <c r="L46" s="5"/>
      <c r="M46" s="5" t="s">
        <v>45</v>
      </c>
      <c r="N46" s="5"/>
      <c r="O46" s="5"/>
      <c r="P46" s="5" t="s">
        <v>10</v>
      </c>
      <c r="Q46" s="19" t="s">
        <v>46</v>
      </c>
      <c r="R46" s="5"/>
    </row>
    <row r="47" spans="1:18">
      <c r="A47" s="19" t="str">
        <f>E47&amp;"_"&amp;COUNTIF(E$3:$E47,E47)&amp;"_"&amp;F47</f>
        <v>36_10_Ossature_contreventement_ext</v>
      </c>
      <c r="B47" s="19">
        <v>45</v>
      </c>
      <c r="C47" s="19" t="s">
        <v>123</v>
      </c>
      <c r="D47" s="19" t="s">
        <v>7</v>
      </c>
      <c r="E47" s="5">
        <v>36</v>
      </c>
      <c r="F47" s="5" t="s">
        <v>39</v>
      </c>
      <c r="G47" s="5" t="s">
        <v>40</v>
      </c>
      <c r="H47" s="5" t="s">
        <v>41</v>
      </c>
      <c r="I47" s="5" t="s">
        <v>42</v>
      </c>
      <c r="J47" s="5" t="s">
        <v>43</v>
      </c>
      <c r="K47" s="5" t="s">
        <v>48</v>
      </c>
      <c r="L47" s="5"/>
      <c r="M47" s="5" t="s">
        <v>45</v>
      </c>
      <c r="N47" s="5"/>
      <c r="O47" s="5"/>
      <c r="P47" s="5" t="s">
        <v>11</v>
      </c>
      <c r="Q47" s="19" t="s">
        <v>46</v>
      </c>
      <c r="R47" s="5"/>
    </row>
    <row r="48" spans="1:18">
      <c r="A48" s="19" t="str">
        <f>E48&amp;"_"&amp;COUNTIF(E$3:$E48,E48)&amp;"_"&amp;F48</f>
        <v>37_8_Ossature_contreventement_ext</v>
      </c>
      <c r="B48" s="19">
        <v>46</v>
      </c>
      <c r="C48" s="19" t="s">
        <v>123</v>
      </c>
      <c r="D48" s="19" t="s">
        <v>7</v>
      </c>
      <c r="E48" s="5">
        <v>37</v>
      </c>
      <c r="F48" s="5" t="s">
        <v>39</v>
      </c>
      <c r="G48" s="5" t="s">
        <v>40</v>
      </c>
      <c r="H48" s="5" t="s">
        <v>41</v>
      </c>
      <c r="I48" s="5" t="s">
        <v>42</v>
      </c>
      <c r="J48" s="5" t="s">
        <v>43</v>
      </c>
      <c r="K48" s="5" t="s">
        <v>48</v>
      </c>
      <c r="L48" s="5"/>
      <c r="M48" s="5" t="s">
        <v>45</v>
      </c>
      <c r="N48" s="5"/>
      <c r="O48" s="5"/>
      <c r="P48" s="5" t="s">
        <v>12</v>
      </c>
      <c r="Q48" s="19" t="s">
        <v>46</v>
      </c>
      <c r="R48" s="5"/>
    </row>
    <row r="49" spans="1:18">
      <c r="A49" s="19" t="str">
        <f>E49&amp;"_"&amp;COUNTIF(E$3:$E49,E49)&amp;"_"&amp;F49</f>
        <v>39_4_Ossature_contreventement_ext</v>
      </c>
      <c r="B49" s="19">
        <v>47</v>
      </c>
      <c r="C49" s="19" t="s">
        <v>123</v>
      </c>
      <c r="D49" s="19" t="s">
        <v>7</v>
      </c>
      <c r="E49" s="5">
        <v>39</v>
      </c>
      <c r="F49" s="5" t="s">
        <v>39</v>
      </c>
      <c r="G49" s="5" t="s">
        <v>40</v>
      </c>
      <c r="H49" s="5" t="s">
        <v>41</v>
      </c>
      <c r="I49" s="5" t="s">
        <v>42</v>
      </c>
      <c r="J49" s="5" t="s">
        <v>43</v>
      </c>
      <c r="K49" s="5" t="s">
        <v>48</v>
      </c>
      <c r="L49" s="5"/>
      <c r="M49" s="5" t="s">
        <v>45</v>
      </c>
      <c r="N49" s="5"/>
      <c r="O49" s="5"/>
      <c r="P49" s="5" t="s">
        <v>13</v>
      </c>
      <c r="Q49" s="19" t="s">
        <v>46</v>
      </c>
      <c r="R49" s="5"/>
    </row>
    <row r="50" spans="1:18">
      <c r="A50" s="19" t="str">
        <f>E50&amp;"_"&amp;COUNTIF(E$3:$E50,E50)&amp;"_"&amp;F50</f>
        <v>40_1_Ossature_contreventement_ext</v>
      </c>
      <c r="B50" s="19">
        <v>48</v>
      </c>
      <c r="C50" s="19" t="s">
        <v>123</v>
      </c>
      <c r="D50" s="19" t="s">
        <v>7</v>
      </c>
      <c r="E50" s="5">
        <v>40</v>
      </c>
      <c r="F50" s="5" t="s">
        <v>39</v>
      </c>
      <c r="G50" s="5" t="s">
        <v>40</v>
      </c>
      <c r="H50" s="5" t="s">
        <v>41</v>
      </c>
      <c r="I50" s="5" t="s">
        <v>42</v>
      </c>
      <c r="J50" s="5" t="s">
        <v>43</v>
      </c>
      <c r="K50" s="5" t="s">
        <v>48</v>
      </c>
      <c r="L50" s="5"/>
      <c r="M50" s="5" t="s">
        <v>45</v>
      </c>
      <c r="N50" s="5"/>
      <c r="O50" s="5"/>
      <c r="P50" s="5" t="s">
        <v>14</v>
      </c>
      <c r="Q50" s="19" t="s">
        <v>46</v>
      </c>
      <c r="R50" s="5"/>
    </row>
    <row r="51" spans="1:18">
      <c r="A51" s="19" t="str">
        <f>E51&amp;"_"&amp;COUNTIF(E$3:$E51,E51)&amp;"_"&amp;F51</f>
        <v>36_11_Ossature_contreventement_ext</v>
      </c>
      <c r="B51" s="19">
        <v>49</v>
      </c>
      <c r="C51" s="19" t="s">
        <v>123</v>
      </c>
      <c r="D51" s="19" t="s">
        <v>7</v>
      </c>
      <c r="E51" s="19">
        <v>36</v>
      </c>
      <c r="F51" s="19" t="s">
        <v>39</v>
      </c>
      <c r="G51" s="19" t="s">
        <v>40</v>
      </c>
      <c r="H51" s="19" t="s">
        <v>41</v>
      </c>
      <c r="I51" s="19" t="s">
        <v>42</v>
      </c>
      <c r="J51" s="19" t="s">
        <v>43</v>
      </c>
      <c r="K51" s="19" t="s">
        <v>49</v>
      </c>
      <c r="L51" s="19"/>
      <c r="M51" s="19" t="s">
        <v>45</v>
      </c>
      <c r="N51" s="19"/>
      <c r="O51" s="19"/>
      <c r="P51" s="19" t="s">
        <v>9</v>
      </c>
      <c r="Q51" s="19" t="s">
        <v>46</v>
      </c>
      <c r="R51" s="19"/>
    </row>
    <row r="52" spans="1:18">
      <c r="A52" s="19" t="str">
        <f>E52&amp;"_"&amp;COUNTIF(E$3:$E52,E52)&amp;"_"&amp;F52</f>
        <v>38_6_Ossature_contreventement_ext</v>
      </c>
      <c r="B52" s="19">
        <v>50</v>
      </c>
      <c r="C52" s="19" t="s">
        <v>123</v>
      </c>
      <c r="D52" s="19" t="s">
        <v>7</v>
      </c>
      <c r="E52" s="19">
        <v>38</v>
      </c>
      <c r="F52" s="19" t="s">
        <v>39</v>
      </c>
      <c r="G52" s="19" t="s">
        <v>40</v>
      </c>
      <c r="H52" s="19" t="s">
        <v>41</v>
      </c>
      <c r="I52" s="19" t="s">
        <v>42</v>
      </c>
      <c r="J52" s="19" t="s">
        <v>43</v>
      </c>
      <c r="K52" s="19" t="s">
        <v>49</v>
      </c>
      <c r="L52" s="19"/>
      <c r="M52" s="19" t="s">
        <v>45</v>
      </c>
      <c r="N52" s="19"/>
      <c r="O52" s="19"/>
      <c r="P52" s="19" t="s">
        <v>10</v>
      </c>
      <c r="Q52" s="19" t="s">
        <v>46</v>
      </c>
      <c r="R52" s="19"/>
    </row>
    <row r="53" spans="1:18">
      <c r="A53" s="19" t="str">
        <f>E53&amp;"_"&amp;COUNTIF(E$3:$E53,E53)&amp;"_"&amp;F53</f>
        <v>37_9_Ossature_contreventement_ext</v>
      </c>
      <c r="B53" s="19">
        <v>51</v>
      </c>
      <c r="C53" s="19" t="s">
        <v>123</v>
      </c>
      <c r="D53" s="19" t="s">
        <v>7</v>
      </c>
      <c r="E53" s="19">
        <v>37</v>
      </c>
      <c r="F53" s="19" t="s">
        <v>39</v>
      </c>
      <c r="G53" s="19" t="s">
        <v>40</v>
      </c>
      <c r="H53" s="19" t="s">
        <v>41</v>
      </c>
      <c r="I53" s="19" t="s">
        <v>42</v>
      </c>
      <c r="J53" s="19" t="s">
        <v>43</v>
      </c>
      <c r="K53" s="19" t="s">
        <v>49</v>
      </c>
      <c r="L53" s="19"/>
      <c r="M53" s="19" t="s">
        <v>45</v>
      </c>
      <c r="N53" s="19"/>
      <c r="O53" s="19"/>
      <c r="P53" s="19" t="s">
        <v>11</v>
      </c>
      <c r="Q53" s="19" t="s">
        <v>46</v>
      </c>
      <c r="R53" s="19"/>
    </row>
    <row r="54" spans="1:18">
      <c r="A54" s="19" t="str">
        <f>E54&amp;"_"&amp;COUNTIF(E$3:$E54,E54)&amp;"_"&amp;F54</f>
        <v>38_7_Ossature_contreventement_ext</v>
      </c>
      <c r="B54" s="19">
        <v>52</v>
      </c>
      <c r="C54" s="19" t="s">
        <v>123</v>
      </c>
      <c r="D54" s="19" t="s">
        <v>7</v>
      </c>
      <c r="E54" s="19">
        <v>38</v>
      </c>
      <c r="F54" s="19" t="s">
        <v>39</v>
      </c>
      <c r="G54" s="19" t="s">
        <v>40</v>
      </c>
      <c r="H54" s="19" t="s">
        <v>41</v>
      </c>
      <c r="I54" s="19" t="s">
        <v>42</v>
      </c>
      <c r="J54" s="19" t="s">
        <v>43</v>
      </c>
      <c r="K54" s="19" t="s">
        <v>49</v>
      </c>
      <c r="L54" s="19"/>
      <c r="M54" s="19" t="s">
        <v>45</v>
      </c>
      <c r="N54" s="19"/>
      <c r="O54" s="19"/>
      <c r="P54" s="19" t="s">
        <v>12</v>
      </c>
      <c r="Q54" s="19" t="s">
        <v>46</v>
      </c>
      <c r="R54" s="19"/>
    </row>
    <row r="55" spans="1:18">
      <c r="A55" s="19" t="str">
        <f>E55&amp;"_"&amp;COUNTIF(E$3:$E55,E55)&amp;"_"&amp;F55</f>
        <v>40_2_Ossature_contreventement_ext</v>
      </c>
      <c r="B55" s="19">
        <v>53</v>
      </c>
      <c r="C55" s="19" t="s">
        <v>123</v>
      </c>
      <c r="D55" s="19" t="s">
        <v>7</v>
      </c>
      <c r="E55" s="19">
        <v>40</v>
      </c>
      <c r="F55" s="19" t="s">
        <v>39</v>
      </c>
      <c r="G55" s="19" t="s">
        <v>40</v>
      </c>
      <c r="H55" s="19" t="s">
        <v>41</v>
      </c>
      <c r="I55" s="19" t="s">
        <v>42</v>
      </c>
      <c r="J55" s="19" t="s">
        <v>43</v>
      </c>
      <c r="K55" s="19" t="s">
        <v>49</v>
      </c>
      <c r="L55" s="19"/>
      <c r="M55" s="19" t="s">
        <v>45</v>
      </c>
      <c r="N55" s="19"/>
      <c r="O55" s="19"/>
      <c r="P55" s="19" t="s">
        <v>13</v>
      </c>
      <c r="Q55" s="19" t="s">
        <v>46</v>
      </c>
      <c r="R55" s="19"/>
    </row>
    <row r="56" spans="1:18">
      <c r="A56" s="19" t="str">
        <f>E56&amp;"_"&amp;COUNTIF(E$3:$E56,E56)&amp;"_"&amp;F56</f>
        <v>41_1_Ossature_contreventement_ext</v>
      </c>
      <c r="B56" s="19">
        <v>54</v>
      </c>
      <c r="C56" s="19" t="s">
        <v>123</v>
      </c>
      <c r="D56" s="19" t="s">
        <v>7</v>
      </c>
      <c r="E56" s="19">
        <v>41</v>
      </c>
      <c r="F56" s="19" t="s">
        <v>39</v>
      </c>
      <c r="G56" s="19" t="s">
        <v>40</v>
      </c>
      <c r="H56" s="19" t="s">
        <v>41</v>
      </c>
      <c r="I56" s="19" t="s">
        <v>42</v>
      </c>
      <c r="J56" s="19" t="s">
        <v>43</v>
      </c>
      <c r="K56" s="19" t="s">
        <v>49</v>
      </c>
      <c r="L56" s="19"/>
      <c r="M56" s="19" t="s">
        <v>45</v>
      </c>
      <c r="N56" s="19"/>
      <c r="O56" s="19"/>
      <c r="P56" s="19" t="s">
        <v>14</v>
      </c>
      <c r="Q56" s="19" t="s">
        <v>46</v>
      </c>
      <c r="R56" s="19"/>
    </row>
    <row r="57" spans="1:18">
      <c r="A57" s="19" t="str">
        <f>E57&amp;"_"&amp;COUNTIF(E$3:$E57,E57)&amp;"_"&amp;F57</f>
        <v>34_6_Ossature_contreventement_ext</v>
      </c>
      <c r="B57" s="19">
        <v>55</v>
      </c>
      <c r="C57" s="19" t="s">
        <v>123</v>
      </c>
      <c r="D57" s="19" t="s">
        <v>7</v>
      </c>
      <c r="E57" s="5">
        <v>34</v>
      </c>
      <c r="F57" s="5" t="s">
        <v>39</v>
      </c>
      <c r="G57" s="5" t="s">
        <v>40</v>
      </c>
      <c r="H57" s="5" t="s">
        <v>41</v>
      </c>
      <c r="I57" s="5" t="s">
        <v>42</v>
      </c>
      <c r="J57" s="5" t="s">
        <v>43</v>
      </c>
      <c r="K57" s="5" t="s">
        <v>50</v>
      </c>
      <c r="L57" s="5"/>
      <c r="M57" s="5" t="s">
        <v>45</v>
      </c>
      <c r="N57" s="5"/>
      <c r="O57" s="5"/>
      <c r="P57" s="5" t="s">
        <v>9</v>
      </c>
      <c r="Q57" s="5" t="s">
        <v>46</v>
      </c>
      <c r="R57" s="5"/>
    </row>
    <row r="58" spans="1:18">
      <c r="A58" s="19" t="str">
        <f>E58&amp;"_"&amp;COUNTIF(E$3:$E58,E58)&amp;"_"&amp;F58</f>
        <v>36_12_Ossature_contreventement_ext</v>
      </c>
      <c r="B58" s="19">
        <v>56</v>
      </c>
      <c r="C58" s="19" t="s">
        <v>123</v>
      </c>
      <c r="D58" s="19" t="s">
        <v>7</v>
      </c>
      <c r="E58" s="5">
        <v>36</v>
      </c>
      <c r="F58" s="5" t="s">
        <v>39</v>
      </c>
      <c r="G58" s="5" t="s">
        <v>40</v>
      </c>
      <c r="H58" s="5" t="s">
        <v>41</v>
      </c>
      <c r="I58" s="5" t="s">
        <v>42</v>
      </c>
      <c r="J58" s="5" t="s">
        <v>43</v>
      </c>
      <c r="K58" s="5" t="s">
        <v>50</v>
      </c>
      <c r="L58" s="5"/>
      <c r="M58" s="5" t="s">
        <v>45</v>
      </c>
      <c r="N58" s="5"/>
      <c r="O58" s="5"/>
      <c r="P58" s="5" t="s">
        <v>10</v>
      </c>
      <c r="Q58" s="5" t="s">
        <v>46</v>
      </c>
      <c r="R58" s="5"/>
    </row>
    <row r="59" spans="1:18">
      <c r="A59" s="19" t="str">
        <f>E59&amp;"_"&amp;COUNTIF(E$3:$E59,E59)&amp;"_"&amp;F59</f>
        <v>35_9_Ossature_contreventement_ext</v>
      </c>
      <c r="B59" s="19">
        <v>57</v>
      </c>
      <c r="C59" s="19" t="s">
        <v>123</v>
      </c>
      <c r="D59" s="19" t="s">
        <v>7</v>
      </c>
      <c r="E59" s="5">
        <v>35</v>
      </c>
      <c r="F59" s="5" t="s">
        <v>39</v>
      </c>
      <c r="G59" s="5" t="s">
        <v>40</v>
      </c>
      <c r="H59" s="5" t="s">
        <v>41</v>
      </c>
      <c r="I59" s="5" t="s">
        <v>42</v>
      </c>
      <c r="J59" s="5" t="s">
        <v>43</v>
      </c>
      <c r="K59" s="5" t="s">
        <v>50</v>
      </c>
      <c r="L59" s="5"/>
      <c r="M59" s="5" t="s">
        <v>45</v>
      </c>
      <c r="N59" s="5"/>
      <c r="O59" s="5"/>
      <c r="P59" s="5" t="s">
        <v>11</v>
      </c>
      <c r="Q59" s="5" t="s">
        <v>46</v>
      </c>
      <c r="R59" s="5"/>
    </row>
    <row r="60" spans="1:18">
      <c r="A60" s="19" t="str">
        <f>E60&amp;"_"&amp;COUNTIF(E$3:$E60,E60)&amp;"_"&amp;F60</f>
        <v>36_13_Ossature_contreventement_ext</v>
      </c>
      <c r="B60" s="19">
        <v>58</v>
      </c>
      <c r="C60" s="19" t="s">
        <v>123</v>
      </c>
      <c r="D60" s="19" t="s">
        <v>7</v>
      </c>
      <c r="E60" s="5">
        <v>36</v>
      </c>
      <c r="F60" s="5" t="s">
        <v>39</v>
      </c>
      <c r="G60" s="5" t="s">
        <v>40</v>
      </c>
      <c r="H60" s="5" t="s">
        <v>41</v>
      </c>
      <c r="I60" s="5" t="s">
        <v>42</v>
      </c>
      <c r="J60" s="5" t="s">
        <v>43</v>
      </c>
      <c r="K60" s="5" t="s">
        <v>50</v>
      </c>
      <c r="L60" s="5"/>
      <c r="M60" s="5" t="s">
        <v>45</v>
      </c>
      <c r="N60" s="5"/>
      <c r="O60" s="5"/>
      <c r="P60" s="5" t="s">
        <v>12</v>
      </c>
      <c r="Q60" s="5" t="s">
        <v>46</v>
      </c>
      <c r="R60" s="5"/>
    </row>
    <row r="61" spans="1:18">
      <c r="A61" s="19" t="str">
        <f>E61&amp;"_"&amp;COUNTIF(E$3:$E61,E61)&amp;"_"&amp;F61</f>
        <v>38_8_Ossature_contreventement_ext</v>
      </c>
      <c r="B61" s="19">
        <v>59</v>
      </c>
      <c r="C61" s="19" t="s">
        <v>123</v>
      </c>
      <c r="D61" s="19" t="s">
        <v>7</v>
      </c>
      <c r="E61" s="5">
        <v>38</v>
      </c>
      <c r="F61" s="5" t="s">
        <v>39</v>
      </c>
      <c r="G61" s="5" t="s">
        <v>40</v>
      </c>
      <c r="H61" s="5" t="s">
        <v>41</v>
      </c>
      <c r="I61" s="5" t="s">
        <v>42</v>
      </c>
      <c r="J61" s="5" t="s">
        <v>43</v>
      </c>
      <c r="K61" s="5" t="s">
        <v>50</v>
      </c>
      <c r="L61" s="5"/>
      <c r="M61" s="5" t="s">
        <v>45</v>
      </c>
      <c r="N61" s="5"/>
      <c r="O61" s="5"/>
      <c r="P61" s="5" t="s">
        <v>13</v>
      </c>
      <c r="Q61" s="5" t="s">
        <v>46</v>
      </c>
      <c r="R61" s="5"/>
    </row>
    <row r="62" spans="1:18">
      <c r="A62" s="19" t="str">
        <f>E62&amp;"_"&amp;COUNTIF(E$3:$E62,E62)&amp;"_"&amp;F62</f>
        <v>39_5_Ossature_contreventement_ext</v>
      </c>
      <c r="B62" s="19">
        <v>60</v>
      </c>
      <c r="C62" s="19" t="s">
        <v>123</v>
      </c>
      <c r="D62" s="19" t="s">
        <v>7</v>
      </c>
      <c r="E62" s="5">
        <v>39</v>
      </c>
      <c r="F62" s="5" t="s">
        <v>39</v>
      </c>
      <c r="G62" s="5" t="s">
        <v>40</v>
      </c>
      <c r="H62" s="5" t="s">
        <v>41</v>
      </c>
      <c r="I62" s="5" t="s">
        <v>42</v>
      </c>
      <c r="J62" s="5" t="s">
        <v>43</v>
      </c>
      <c r="K62" s="5" t="s">
        <v>50</v>
      </c>
      <c r="L62" s="5"/>
      <c r="M62" s="5" t="s">
        <v>45</v>
      </c>
      <c r="N62" s="5"/>
      <c r="O62" s="5"/>
      <c r="P62" s="5" t="s">
        <v>14</v>
      </c>
      <c r="Q62" s="5" t="s">
        <v>46</v>
      </c>
      <c r="R62" s="5"/>
    </row>
    <row r="63" spans="1:18">
      <c r="A63" s="19" t="str">
        <f>E63&amp;"_"&amp;COUNTIF(E$3:$E63,E63)&amp;"_"&amp;F63</f>
        <v>37_10_Ossature_contreventement_ext</v>
      </c>
      <c r="B63" s="19">
        <v>61</v>
      </c>
      <c r="C63" s="19" t="s">
        <v>123</v>
      </c>
      <c r="D63" s="19" t="s">
        <v>7</v>
      </c>
      <c r="E63" s="19">
        <v>37</v>
      </c>
      <c r="F63" s="19" t="s">
        <v>39</v>
      </c>
      <c r="G63" s="19" t="s">
        <v>40</v>
      </c>
      <c r="H63" s="19" t="s">
        <v>41</v>
      </c>
      <c r="I63" s="19" t="s">
        <v>42</v>
      </c>
      <c r="J63" s="19" t="s">
        <v>43</v>
      </c>
      <c r="K63" s="19" t="s">
        <v>47</v>
      </c>
      <c r="L63" s="19"/>
      <c r="M63" s="19" t="s">
        <v>45</v>
      </c>
      <c r="N63" s="19"/>
      <c r="O63" s="19"/>
      <c r="P63" s="19" t="s">
        <v>8</v>
      </c>
      <c r="Q63" s="19" t="s">
        <v>51</v>
      </c>
      <c r="R63" s="19"/>
    </row>
    <row r="64" spans="1:18">
      <c r="A64" s="19" t="str">
        <f>E64&amp;"_"&amp;COUNTIF(E$3:$E64,E64)&amp;"_"&amp;F64</f>
        <v>37_11_Ossature_contreventement_ext</v>
      </c>
      <c r="B64" s="19">
        <v>62</v>
      </c>
      <c r="C64" s="19" t="s">
        <v>123</v>
      </c>
      <c r="D64" s="19" t="s">
        <v>7</v>
      </c>
      <c r="E64" s="19">
        <v>37</v>
      </c>
      <c r="F64" s="19" t="s">
        <v>39</v>
      </c>
      <c r="G64" s="19" t="s">
        <v>40</v>
      </c>
      <c r="H64" s="19" t="s">
        <v>41</v>
      </c>
      <c r="I64" s="19" t="s">
        <v>42</v>
      </c>
      <c r="J64" s="19" t="s">
        <v>43</v>
      </c>
      <c r="K64" s="19" t="s">
        <v>47</v>
      </c>
      <c r="L64" s="19"/>
      <c r="M64" s="19" t="s">
        <v>45</v>
      </c>
      <c r="N64" s="19"/>
      <c r="O64" s="19"/>
      <c r="P64" s="19" t="s">
        <v>8</v>
      </c>
      <c r="Q64" s="19" t="s">
        <v>52</v>
      </c>
      <c r="R64" s="19"/>
    </row>
    <row r="65" spans="1:18">
      <c r="A65" s="19" t="str">
        <f>E65&amp;"_"&amp;COUNTIF(E$3:$E65,E65)&amp;"_"&amp;F65</f>
        <v>38_9_Ossature_contreventement_ext</v>
      </c>
      <c r="B65" s="19">
        <v>63</v>
      </c>
      <c r="C65" s="19" t="s">
        <v>123</v>
      </c>
      <c r="D65" s="19" t="s">
        <v>7</v>
      </c>
      <c r="E65" s="19">
        <v>38</v>
      </c>
      <c r="F65" s="19" t="s">
        <v>39</v>
      </c>
      <c r="G65" s="19" t="s">
        <v>40</v>
      </c>
      <c r="H65" s="19" t="s">
        <v>41</v>
      </c>
      <c r="I65" s="19" t="s">
        <v>42</v>
      </c>
      <c r="J65" s="19" t="s">
        <v>43</v>
      </c>
      <c r="K65" s="19" t="s">
        <v>47</v>
      </c>
      <c r="L65" s="19"/>
      <c r="M65" s="19" t="s">
        <v>45</v>
      </c>
      <c r="N65" s="19"/>
      <c r="O65" s="19"/>
      <c r="P65" s="19" t="s">
        <v>8</v>
      </c>
      <c r="Q65" s="19" t="s">
        <v>53</v>
      </c>
      <c r="R65" s="19"/>
    </row>
    <row r="66" spans="1:18">
      <c r="A66" s="19" t="str">
        <f>E66&amp;"_"&amp;COUNTIF(E$3:$E66,E66)&amp;"_"&amp;F66</f>
        <v>36_14_Ossature_contreventement_ext</v>
      </c>
      <c r="B66" s="19">
        <v>64</v>
      </c>
      <c r="C66" s="19" t="s">
        <v>123</v>
      </c>
      <c r="D66" s="19" t="s">
        <v>7</v>
      </c>
      <c r="E66" s="19">
        <v>36</v>
      </c>
      <c r="F66" s="19" t="s">
        <v>39</v>
      </c>
      <c r="G66" s="19" t="s">
        <v>40</v>
      </c>
      <c r="H66" s="19" t="s">
        <v>41</v>
      </c>
      <c r="I66" s="19" t="s">
        <v>42</v>
      </c>
      <c r="J66" s="19" t="s">
        <v>43</v>
      </c>
      <c r="K66" s="19" t="s">
        <v>47</v>
      </c>
      <c r="L66" s="19"/>
      <c r="M66" s="19" t="s">
        <v>45</v>
      </c>
      <c r="N66" s="19"/>
      <c r="O66" s="19"/>
      <c r="P66" s="19" t="s">
        <v>8</v>
      </c>
      <c r="Q66" s="19" t="s">
        <v>54</v>
      </c>
      <c r="R66" s="19"/>
    </row>
    <row r="67" spans="1:18">
      <c r="A67" s="19" t="str">
        <f>E67&amp;"_"&amp;COUNTIF(E$3:$E67,E67)&amp;"_"&amp;F67</f>
        <v>40_3_Ossature_contreventement_ext</v>
      </c>
      <c r="B67" s="19">
        <v>65</v>
      </c>
      <c r="C67" s="19" t="s">
        <v>123</v>
      </c>
      <c r="D67" s="19" t="s">
        <v>7</v>
      </c>
      <c r="E67" s="19">
        <v>40</v>
      </c>
      <c r="F67" s="19" t="s">
        <v>39</v>
      </c>
      <c r="G67" s="19" t="s">
        <v>40</v>
      </c>
      <c r="H67" s="19" t="s">
        <v>41</v>
      </c>
      <c r="I67" s="19" t="s">
        <v>42</v>
      </c>
      <c r="J67" s="19" t="s">
        <v>43</v>
      </c>
      <c r="K67" s="19" t="s">
        <v>47</v>
      </c>
      <c r="L67" s="19"/>
      <c r="M67" s="19" t="s">
        <v>45</v>
      </c>
      <c r="N67" s="19"/>
      <c r="O67" s="19"/>
      <c r="P67" s="19" t="s">
        <v>8</v>
      </c>
      <c r="Q67" s="19" t="s">
        <v>55</v>
      </c>
      <c r="R67" s="19"/>
    </row>
    <row r="68" spans="1:18">
      <c r="A68" s="19" t="str">
        <f>E68&amp;"_"&amp;COUNTIF(E$3:$E68,E68)&amp;"_"&amp;F68</f>
        <v>49_2_Ossature_contreventement_ext</v>
      </c>
      <c r="B68" s="19">
        <v>66</v>
      </c>
      <c r="C68" s="19" t="s">
        <v>123</v>
      </c>
      <c r="D68" s="19" t="s">
        <v>7</v>
      </c>
      <c r="E68" s="19">
        <v>49</v>
      </c>
      <c r="F68" s="19" t="s">
        <v>39</v>
      </c>
      <c r="G68" s="19" t="s">
        <v>40</v>
      </c>
      <c r="H68" s="19" t="s">
        <v>41</v>
      </c>
      <c r="I68" s="19" t="s">
        <v>42</v>
      </c>
      <c r="J68" s="19" t="s">
        <v>43</v>
      </c>
      <c r="K68" s="19" t="s">
        <v>47</v>
      </c>
      <c r="L68" s="19"/>
      <c r="M68" s="19" t="s">
        <v>45</v>
      </c>
      <c r="N68" s="19"/>
      <c r="O68" s="19"/>
      <c r="P68" s="19" t="s">
        <v>8</v>
      </c>
      <c r="Q68" s="19" t="s">
        <v>56</v>
      </c>
      <c r="R68" s="19"/>
    </row>
    <row r="69" spans="1:18">
      <c r="A69" s="19" t="str">
        <f>E69&amp;"_"&amp;COUNTIF(E$3:$E69,E69)&amp;"_"&amp;F69</f>
        <v>49_3_Ossature_contreventement_ext</v>
      </c>
      <c r="B69" s="19">
        <v>67</v>
      </c>
      <c r="C69" s="19" t="s">
        <v>123</v>
      </c>
      <c r="D69" s="19" t="s">
        <v>7</v>
      </c>
      <c r="E69" s="19">
        <v>49</v>
      </c>
      <c r="F69" s="19" t="s">
        <v>39</v>
      </c>
      <c r="G69" s="19" t="s">
        <v>40</v>
      </c>
      <c r="H69" s="19" t="s">
        <v>41</v>
      </c>
      <c r="I69" s="19" t="s">
        <v>42</v>
      </c>
      <c r="J69" s="19" t="s">
        <v>43</v>
      </c>
      <c r="K69" s="19" t="s">
        <v>47</v>
      </c>
      <c r="L69" s="19"/>
      <c r="M69" s="19" t="s">
        <v>45</v>
      </c>
      <c r="N69" s="19"/>
      <c r="O69" s="19"/>
      <c r="P69" s="19" t="s">
        <v>8</v>
      </c>
      <c r="Q69" s="19" t="s">
        <v>57</v>
      </c>
      <c r="R69" s="19"/>
    </row>
    <row r="70" spans="1:18">
      <c r="A70" s="19" t="str">
        <f>E70&amp;"_"&amp;COUNTIF(E$3:$E70,E70)&amp;"_"&amp;F70</f>
        <v>38_10_Ossature_contreventement_ext</v>
      </c>
      <c r="B70" s="19">
        <v>68</v>
      </c>
      <c r="C70" s="19" t="s">
        <v>123</v>
      </c>
      <c r="D70" s="19" t="s">
        <v>7</v>
      </c>
      <c r="E70" s="5">
        <v>38</v>
      </c>
      <c r="F70" s="5" t="s">
        <v>39</v>
      </c>
      <c r="G70" s="5" t="s">
        <v>40</v>
      </c>
      <c r="H70" s="5" t="s">
        <v>41</v>
      </c>
      <c r="I70" s="5" t="s">
        <v>42</v>
      </c>
      <c r="J70" s="5" t="s">
        <v>43</v>
      </c>
      <c r="K70" s="5" t="s">
        <v>48</v>
      </c>
      <c r="L70" s="5"/>
      <c r="M70" s="5" t="s">
        <v>45</v>
      </c>
      <c r="N70" s="5"/>
      <c r="O70" s="5"/>
      <c r="P70" s="5" t="s">
        <v>8</v>
      </c>
      <c r="Q70" s="5" t="s">
        <v>51</v>
      </c>
      <c r="R70" s="5"/>
    </row>
    <row r="71" spans="1:18">
      <c r="A71" s="19" t="str">
        <f>E71&amp;"_"&amp;COUNTIF(E$3:$E71,E71)&amp;"_"&amp;F71</f>
        <v>38_11_Ossature_contreventement_ext</v>
      </c>
      <c r="B71" s="19">
        <v>69</v>
      </c>
      <c r="C71" s="19" t="s">
        <v>123</v>
      </c>
      <c r="D71" s="19" t="s">
        <v>7</v>
      </c>
      <c r="E71" s="5">
        <v>38</v>
      </c>
      <c r="F71" s="5" t="s">
        <v>39</v>
      </c>
      <c r="G71" s="5" t="s">
        <v>40</v>
      </c>
      <c r="H71" s="5" t="s">
        <v>41</v>
      </c>
      <c r="I71" s="5" t="s">
        <v>42</v>
      </c>
      <c r="J71" s="5" t="s">
        <v>43</v>
      </c>
      <c r="K71" s="5" t="s">
        <v>48</v>
      </c>
      <c r="L71" s="5"/>
      <c r="M71" s="5" t="s">
        <v>45</v>
      </c>
      <c r="N71" s="5"/>
      <c r="O71" s="5"/>
      <c r="P71" s="5" t="s">
        <v>8</v>
      </c>
      <c r="Q71" s="5" t="s">
        <v>52</v>
      </c>
      <c r="R71" s="5"/>
    </row>
    <row r="72" spans="1:18">
      <c r="A72" s="19" t="str">
        <f>E72&amp;"_"&amp;COUNTIF(E$3:$E72,E72)&amp;"_"&amp;F72</f>
        <v>39_6_Ossature_contreventement_ext</v>
      </c>
      <c r="B72" s="19">
        <v>70</v>
      </c>
      <c r="C72" s="19" t="s">
        <v>123</v>
      </c>
      <c r="D72" s="19" t="s">
        <v>7</v>
      </c>
      <c r="E72" s="5">
        <v>39</v>
      </c>
      <c r="F72" s="5" t="s">
        <v>39</v>
      </c>
      <c r="G72" s="5" t="s">
        <v>40</v>
      </c>
      <c r="H72" s="5" t="s">
        <v>41</v>
      </c>
      <c r="I72" s="5" t="s">
        <v>42</v>
      </c>
      <c r="J72" s="5" t="s">
        <v>43</v>
      </c>
      <c r="K72" s="5" t="s">
        <v>48</v>
      </c>
      <c r="L72" s="5"/>
      <c r="M72" s="5" t="s">
        <v>45</v>
      </c>
      <c r="N72" s="5"/>
      <c r="O72" s="5"/>
      <c r="P72" s="5" t="s">
        <v>8</v>
      </c>
      <c r="Q72" s="5" t="s">
        <v>53</v>
      </c>
      <c r="R72" s="5"/>
    </row>
    <row r="73" spans="1:18">
      <c r="A73" s="19" t="str">
        <f>E73&amp;"_"&amp;COUNTIF(E$3:$E73,E73)&amp;"_"&amp;F73</f>
        <v>37_12_Ossature_contreventement_ext</v>
      </c>
      <c r="B73" s="19">
        <v>71</v>
      </c>
      <c r="C73" s="19" t="s">
        <v>123</v>
      </c>
      <c r="D73" s="19" t="s">
        <v>7</v>
      </c>
      <c r="E73" s="5">
        <v>37</v>
      </c>
      <c r="F73" s="5" t="s">
        <v>39</v>
      </c>
      <c r="G73" s="5" t="s">
        <v>40</v>
      </c>
      <c r="H73" s="5" t="s">
        <v>41</v>
      </c>
      <c r="I73" s="5" t="s">
        <v>42</v>
      </c>
      <c r="J73" s="5" t="s">
        <v>43</v>
      </c>
      <c r="K73" s="5" t="s">
        <v>48</v>
      </c>
      <c r="L73" s="5"/>
      <c r="M73" s="5" t="s">
        <v>45</v>
      </c>
      <c r="N73" s="5"/>
      <c r="O73" s="5"/>
      <c r="P73" s="5" t="s">
        <v>8</v>
      </c>
      <c r="Q73" s="5" t="s">
        <v>54</v>
      </c>
      <c r="R73" s="5"/>
    </row>
    <row r="74" spans="1:18">
      <c r="A74" s="19" t="str">
        <f>E74&amp;"_"&amp;COUNTIF(E$3:$E74,E74)&amp;"_"&amp;F74</f>
        <v>41_2_Ossature_contreventement_ext</v>
      </c>
      <c r="B74" s="19">
        <v>72</v>
      </c>
      <c r="C74" s="19" t="s">
        <v>123</v>
      </c>
      <c r="D74" s="19" t="s">
        <v>7</v>
      </c>
      <c r="E74" s="5">
        <v>41</v>
      </c>
      <c r="F74" s="5" t="s">
        <v>39</v>
      </c>
      <c r="G74" s="5" t="s">
        <v>40</v>
      </c>
      <c r="H74" s="5" t="s">
        <v>41</v>
      </c>
      <c r="I74" s="5" t="s">
        <v>42</v>
      </c>
      <c r="J74" s="5" t="s">
        <v>43</v>
      </c>
      <c r="K74" s="5" t="s">
        <v>48</v>
      </c>
      <c r="L74" s="5"/>
      <c r="M74" s="5" t="s">
        <v>45</v>
      </c>
      <c r="N74" s="5"/>
      <c r="O74" s="5"/>
      <c r="P74" s="5" t="s">
        <v>8</v>
      </c>
      <c r="Q74" s="5" t="s">
        <v>55</v>
      </c>
      <c r="R74" s="5"/>
    </row>
    <row r="75" spans="1:18">
      <c r="A75" s="19" t="str">
        <f>E75&amp;"_"&amp;COUNTIF(E$3:$E75,E75)&amp;"_"&amp;F75</f>
        <v>49_4_Ossature_contreventement_ext</v>
      </c>
      <c r="B75" s="19">
        <v>73</v>
      </c>
      <c r="C75" s="19" t="s">
        <v>123</v>
      </c>
      <c r="D75" s="19" t="s">
        <v>7</v>
      </c>
      <c r="E75" s="5">
        <v>49</v>
      </c>
      <c r="F75" s="5" t="s">
        <v>39</v>
      </c>
      <c r="G75" s="5" t="s">
        <v>40</v>
      </c>
      <c r="H75" s="5" t="s">
        <v>41</v>
      </c>
      <c r="I75" s="5" t="s">
        <v>42</v>
      </c>
      <c r="J75" s="5" t="s">
        <v>43</v>
      </c>
      <c r="K75" s="5" t="s">
        <v>48</v>
      </c>
      <c r="L75" s="5"/>
      <c r="M75" s="5" t="s">
        <v>45</v>
      </c>
      <c r="N75" s="5"/>
      <c r="O75" s="5"/>
      <c r="P75" s="5" t="s">
        <v>8</v>
      </c>
      <c r="Q75" s="5" t="s">
        <v>56</v>
      </c>
    </row>
    <row r="76" spans="1:18">
      <c r="A76" s="19" t="str">
        <f>E76&amp;"_"&amp;COUNTIF(E$3:$E76,E76)&amp;"_"&amp;F76</f>
        <v>49_5_Ossature_contreventement_ext</v>
      </c>
      <c r="B76" s="19">
        <v>74</v>
      </c>
      <c r="C76" s="19" t="s">
        <v>123</v>
      </c>
      <c r="D76" s="19" t="s">
        <v>7</v>
      </c>
      <c r="E76" s="5">
        <v>49</v>
      </c>
      <c r="F76" s="5" t="s">
        <v>39</v>
      </c>
      <c r="G76" s="5" t="s">
        <v>40</v>
      </c>
      <c r="H76" s="5" t="s">
        <v>41</v>
      </c>
      <c r="I76" s="5" t="s">
        <v>42</v>
      </c>
      <c r="J76" s="5" t="s">
        <v>43</v>
      </c>
      <c r="K76" s="5" t="s">
        <v>48</v>
      </c>
      <c r="L76" s="5"/>
      <c r="M76" s="5" t="s">
        <v>45</v>
      </c>
      <c r="N76" s="5"/>
      <c r="O76" s="5"/>
      <c r="P76" s="5" t="s">
        <v>8</v>
      </c>
      <c r="Q76" s="5" t="s">
        <v>57</v>
      </c>
    </row>
    <row r="77" spans="1:18">
      <c r="A77" s="19" t="str">
        <f>E77&amp;"_"&amp;COUNTIF(E$3:$E77,E77)&amp;"_"&amp;F77</f>
        <v>39_7_Ossature_contreventement_ext</v>
      </c>
      <c r="B77" s="19">
        <v>75</v>
      </c>
      <c r="C77" s="19" t="s">
        <v>123</v>
      </c>
      <c r="D77" s="19" t="s">
        <v>7</v>
      </c>
      <c r="E77" s="19">
        <v>39</v>
      </c>
      <c r="F77" s="19" t="s">
        <v>39</v>
      </c>
      <c r="G77" s="19" t="s">
        <v>40</v>
      </c>
      <c r="H77" s="19" t="s">
        <v>41</v>
      </c>
      <c r="I77" s="19" t="s">
        <v>42</v>
      </c>
      <c r="J77" s="19" t="s">
        <v>43</v>
      </c>
      <c r="K77" s="19" t="s">
        <v>49</v>
      </c>
      <c r="L77" s="19"/>
      <c r="M77" s="19" t="s">
        <v>45</v>
      </c>
      <c r="N77" s="19"/>
      <c r="O77" s="19"/>
      <c r="P77" s="19" t="s">
        <v>8</v>
      </c>
      <c r="Q77" s="19" t="s">
        <v>51</v>
      </c>
      <c r="R77" s="19"/>
    </row>
    <row r="78" spans="1:18">
      <c r="A78" s="19" t="str">
        <f>E78&amp;"_"&amp;COUNTIF(E$3:$E78,E78)&amp;"_"&amp;F78</f>
        <v>39_8_Ossature_contreventement_ext</v>
      </c>
      <c r="B78" s="19">
        <v>76</v>
      </c>
      <c r="C78" s="19" t="s">
        <v>123</v>
      </c>
      <c r="D78" s="19" t="s">
        <v>7</v>
      </c>
      <c r="E78" s="19">
        <v>39</v>
      </c>
      <c r="F78" s="19" t="s">
        <v>39</v>
      </c>
      <c r="G78" s="19" t="s">
        <v>40</v>
      </c>
      <c r="H78" s="19" t="s">
        <v>41</v>
      </c>
      <c r="I78" s="19" t="s">
        <v>42</v>
      </c>
      <c r="J78" s="19" t="s">
        <v>43</v>
      </c>
      <c r="K78" s="19" t="s">
        <v>49</v>
      </c>
      <c r="L78" s="19"/>
      <c r="M78" s="19" t="s">
        <v>45</v>
      </c>
      <c r="N78" s="19"/>
      <c r="O78" s="19"/>
      <c r="P78" s="19" t="s">
        <v>8</v>
      </c>
      <c r="Q78" s="19" t="s">
        <v>52</v>
      </c>
      <c r="R78" s="19"/>
    </row>
    <row r="79" spans="1:18">
      <c r="A79" s="19" t="str">
        <f>E79&amp;"_"&amp;COUNTIF(E$3:$E79,E79)&amp;"_"&amp;F79</f>
        <v>40_4_Ossature_contreventement_ext</v>
      </c>
      <c r="B79" s="19">
        <v>77</v>
      </c>
      <c r="C79" s="19" t="s">
        <v>123</v>
      </c>
      <c r="D79" s="19" t="s">
        <v>7</v>
      </c>
      <c r="E79" s="19">
        <v>40</v>
      </c>
      <c r="F79" s="19" t="s">
        <v>39</v>
      </c>
      <c r="G79" s="19" t="s">
        <v>40</v>
      </c>
      <c r="H79" s="19" t="s">
        <v>41</v>
      </c>
      <c r="I79" s="19" t="s">
        <v>42</v>
      </c>
      <c r="J79" s="19" t="s">
        <v>43</v>
      </c>
      <c r="K79" s="19" t="s">
        <v>49</v>
      </c>
      <c r="L79" s="19"/>
      <c r="M79" s="19" t="s">
        <v>45</v>
      </c>
      <c r="N79" s="19"/>
      <c r="O79" s="19"/>
      <c r="P79" s="19" t="s">
        <v>8</v>
      </c>
      <c r="Q79" s="19" t="s">
        <v>53</v>
      </c>
      <c r="R79" s="19"/>
    </row>
    <row r="80" spans="1:18">
      <c r="A80" s="19" t="str">
        <f>E80&amp;"_"&amp;COUNTIF(E$3:$E80,E80)&amp;"_"&amp;F80</f>
        <v>38_12_Ossature_contreventement_ext</v>
      </c>
      <c r="B80" s="19">
        <v>78</v>
      </c>
      <c r="C80" s="19" t="s">
        <v>123</v>
      </c>
      <c r="D80" s="19" t="s">
        <v>7</v>
      </c>
      <c r="E80" s="19">
        <v>38</v>
      </c>
      <c r="F80" s="19" t="s">
        <v>39</v>
      </c>
      <c r="G80" s="19" t="s">
        <v>40</v>
      </c>
      <c r="H80" s="19" t="s">
        <v>41</v>
      </c>
      <c r="I80" s="19" t="s">
        <v>42</v>
      </c>
      <c r="J80" s="19" t="s">
        <v>43</v>
      </c>
      <c r="K80" s="19" t="s">
        <v>49</v>
      </c>
      <c r="L80" s="19"/>
      <c r="M80" s="19" t="s">
        <v>45</v>
      </c>
      <c r="N80" s="19"/>
      <c r="O80" s="19"/>
      <c r="P80" s="19" t="s">
        <v>8</v>
      </c>
      <c r="Q80" s="19" t="s">
        <v>54</v>
      </c>
      <c r="R80" s="19"/>
    </row>
    <row r="81" spans="1:18">
      <c r="A81" s="19" t="str">
        <f>E81&amp;"_"&amp;COUNTIF(E$3:$E81,E81)&amp;"_"&amp;F81</f>
        <v>42_1_Ossature_contreventement_ext</v>
      </c>
      <c r="B81" s="19">
        <v>79</v>
      </c>
      <c r="C81" s="19" t="s">
        <v>123</v>
      </c>
      <c r="D81" s="19" t="s">
        <v>7</v>
      </c>
      <c r="E81" s="19">
        <v>42</v>
      </c>
      <c r="F81" s="19" t="s">
        <v>39</v>
      </c>
      <c r="G81" s="19" t="s">
        <v>40</v>
      </c>
      <c r="H81" s="19" t="s">
        <v>41</v>
      </c>
      <c r="I81" s="19" t="s">
        <v>42</v>
      </c>
      <c r="J81" s="19" t="s">
        <v>43</v>
      </c>
      <c r="K81" s="19" t="s">
        <v>49</v>
      </c>
      <c r="L81" s="19"/>
      <c r="M81" s="19" t="s">
        <v>45</v>
      </c>
      <c r="N81" s="19"/>
      <c r="O81" s="19"/>
      <c r="P81" s="19" t="s">
        <v>8</v>
      </c>
      <c r="Q81" s="19" t="s">
        <v>55</v>
      </c>
      <c r="R81" s="19"/>
    </row>
    <row r="82" spans="1:18">
      <c r="A82" s="19" t="str">
        <f>E82&amp;"_"&amp;COUNTIF(E$3:$E82,E82)&amp;"_"&amp;F82</f>
        <v>49_6_Ossature_contreventement_ext</v>
      </c>
      <c r="B82" s="19">
        <v>80</v>
      </c>
      <c r="C82" s="19" t="s">
        <v>123</v>
      </c>
      <c r="D82" s="19" t="s">
        <v>7</v>
      </c>
      <c r="E82" s="19">
        <v>49</v>
      </c>
      <c r="F82" s="19" t="s">
        <v>39</v>
      </c>
      <c r="G82" s="19" t="s">
        <v>40</v>
      </c>
      <c r="H82" s="19" t="s">
        <v>41</v>
      </c>
      <c r="I82" s="19" t="s">
        <v>42</v>
      </c>
      <c r="J82" s="19" t="s">
        <v>43</v>
      </c>
      <c r="K82" s="19" t="s">
        <v>49</v>
      </c>
      <c r="L82" s="19"/>
      <c r="M82" s="19" t="s">
        <v>45</v>
      </c>
      <c r="N82" s="19"/>
      <c r="O82" s="19"/>
      <c r="P82" s="19" t="s">
        <v>8</v>
      </c>
      <c r="Q82" s="19" t="s">
        <v>56</v>
      </c>
      <c r="R82" s="19"/>
    </row>
    <row r="83" spans="1:18">
      <c r="A83" s="19" t="str">
        <f>E83&amp;"_"&amp;COUNTIF(E$3:$E83,E83)&amp;"_"&amp;F83</f>
        <v>49_7_Ossature_contreventement_ext</v>
      </c>
      <c r="B83" s="19">
        <v>81</v>
      </c>
      <c r="C83" s="19" t="s">
        <v>123</v>
      </c>
      <c r="D83" s="19" t="s">
        <v>7</v>
      </c>
      <c r="E83" s="19">
        <v>49</v>
      </c>
      <c r="F83" s="19" t="s">
        <v>39</v>
      </c>
      <c r="G83" s="19" t="s">
        <v>40</v>
      </c>
      <c r="H83" s="19" t="s">
        <v>41</v>
      </c>
      <c r="I83" s="19" t="s">
        <v>42</v>
      </c>
      <c r="J83" s="19" t="s">
        <v>43</v>
      </c>
      <c r="K83" s="19" t="s">
        <v>49</v>
      </c>
      <c r="L83" s="19"/>
      <c r="M83" s="19" t="s">
        <v>45</v>
      </c>
      <c r="N83" s="19"/>
      <c r="O83" s="19"/>
      <c r="P83" s="19" t="s">
        <v>8</v>
      </c>
      <c r="Q83" s="19" t="s">
        <v>57</v>
      </c>
      <c r="R83" s="19"/>
    </row>
    <row r="84" spans="1:18">
      <c r="A84" s="19" t="str">
        <f>E84&amp;"_"&amp;COUNTIF(E$3:$E84,E84)&amp;"_"&amp;F84</f>
        <v>37_13_Ossature_contreventement_ext</v>
      </c>
      <c r="B84" s="19">
        <v>82</v>
      </c>
      <c r="C84" s="19" t="s">
        <v>123</v>
      </c>
      <c r="D84" s="19" t="s">
        <v>7</v>
      </c>
      <c r="E84" s="5">
        <v>37</v>
      </c>
      <c r="F84" s="5" t="s">
        <v>39</v>
      </c>
      <c r="G84" s="5" t="s">
        <v>40</v>
      </c>
      <c r="H84" s="5" t="s">
        <v>41</v>
      </c>
      <c r="I84" s="5" t="s">
        <v>42</v>
      </c>
      <c r="J84" s="5" t="s">
        <v>43</v>
      </c>
      <c r="K84" s="5" t="s">
        <v>50</v>
      </c>
      <c r="L84" s="5"/>
      <c r="M84" s="5" t="s">
        <v>45</v>
      </c>
      <c r="N84" s="5"/>
      <c r="O84" s="5"/>
      <c r="P84" s="5" t="s">
        <v>8</v>
      </c>
      <c r="Q84" s="5" t="s">
        <v>51</v>
      </c>
      <c r="R84" s="5"/>
    </row>
    <row r="85" spans="1:18">
      <c r="A85" s="19" t="str">
        <f>E85&amp;"_"&amp;COUNTIF(E$3:$E85,E85)&amp;"_"&amp;F85</f>
        <v>37_14_Ossature_contreventement_ext</v>
      </c>
      <c r="B85" s="19">
        <v>83</v>
      </c>
      <c r="C85" s="19" t="s">
        <v>123</v>
      </c>
      <c r="D85" s="19" t="s">
        <v>7</v>
      </c>
      <c r="E85" s="5">
        <v>37</v>
      </c>
      <c r="F85" s="5" t="s">
        <v>39</v>
      </c>
      <c r="G85" s="5" t="s">
        <v>40</v>
      </c>
      <c r="H85" s="5" t="s">
        <v>41</v>
      </c>
      <c r="I85" s="5" t="s">
        <v>42</v>
      </c>
      <c r="J85" s="5" t="s">
        <v>43</v>
      </c>
      <c r="K85" s="5" t="s">
        <v>50</v>
      </c>
      <c r="L85" s="5"/>
      <c r="M85" s="5" t="s">
        <v>45</v>
      </c>
      <c r="N85" s="5"/>
      <c r="O85" s="5"/>
      <c r="P85" s="5" t="s">
        <v>8</v>
      </c>
      <c r="Q85" s="5" t="s">
        <v>52</v>
      </c>
      <c r="R85" s="5"/>
    </row>
    <row r="86" spans="1:18">
      <c r="A86" s="19" t="str">
        <f>E86&amp;"_"&amp;COUNTIF(E$3:$E86,E86)&amp;"_"&amp;F86</f>
        <v>38_13_Ossature_contreventement_ext</v>
      </c>
      <c r="B86" s="19">
        <v>84</v>
      </c>
      <c r="C86" s="19" t="s">
        <v>123</v>
      </c>
      <c r="D86" s="19" t="s">
        <v>7</v>
      </c>
      <c r="E86" s="5">
        <v>38</v>
      </c>
      <c r="F86" s="5" t="s">
        <v>39</v>
      </c>
      <c r="G86" s="5" t="s">
        <v>40</v>
      </c>
      <c r="H86" s="5" t="s">
        <v>41</v>
      </c>
      <c r="I86" s="5" t="s">
        <v>42</v>
      </c>
      <c r="J86" s="5" t="s">
        <v>43</v>
      </c>
      <c r="K86" s="5" t="s">
        <v>50</v>
      </c>
      <c r="L86" s="5"/>
      <c r="M86" s="5" t="s">
        <v>45</v>
      </c>
      <c r="N86" s="5"/>
      <c r="O86" s="5"/>
      <c r="P86" s="5" t="s">
        <v>8</v>
      </c>
      <c r="Q86" s="5" t="s">
        <v>53</v>
      </c>
      <c r="R86" s="5"/>
    </row>
    <row r="87" spans="1:18">
      <c r="A87" s="19" t="str">
        <f>E87&amp;"_"&amp;COUNTIF(E$3:$E87,E87)&amp;"_"&amp;F87</f>
        <v>36_15_Ossature_contreventement_ext</v>
      </c>
      <c r="B87" s="19">
        <v>85</v>
      </c>
      <c r="C87" s="19" t="s">
        <v>123</v>
      </c>
      <c r="D87" s="19" t="s">
        <v>7</v>
      </c>
      <c r="E87" s="5">
        <v>36</v>
      </c>
      <c r="F87" s="5" t="s">
        <v>39</v>
      </c>
      <c r="G87" s="5" t="s">
        <v>40</v>
      </c>
      <c r="H87" s="5" t="s">
        <v>41</v>
      </c>
      <c r="I87" s="5" t="s">
        <v>42</v>
      </c>
      <c r="J87" s="5" t="s">
        <v>43</v>
      </c>
      <c r="K87" s="5" t="s">
        <v>50</v>
      </c>
      <c r="L87" s="5"/>
      <c r="M87" s="5" t="s">
        <v>45</v>
      </c>
      <c r="N87" s="5"/>
      <c r="O87" s="5"/>
      <c r="P87" s="5" t="s">
        <v>8</v>
      </c>
      <c r="Q87" s="5" t="s">
        <v>54</v>
      </c>
      <c r="R87" s="5"/>
    </row>
    <row r="88" spans="1:18">
      <c r="A88" s="19" t="str">
        <f>E88&amp;"_"&amp;COUNTIF(E$3:$E88,E88)&amp;"_"&amp;F88</f>
        <v>40_5_Ossature_contreventement_ext</v>
      </c>
      <c r="B88" s="19">
        <v>86</v>
      </c>
      <c r="C88" s="19" t="s">
        <v>123</v>
      </c>
      <c r="D88" s="19" t="s">
        <v>7</v>
      </c>
      <c r="E88" s="5">
        <v>40</v>
      </c>
      <c r="F88" s="5" t="s">
        <v>39</v>
      </c>
      <c r="G88" s="5" t="s">
        <v>40</v>
      </c>
      <c r="H88" s="5" t="s">
        <v>41</v>
      </c>
      <c r="I88" s="5" t="s">
        <v>42</v>
      </c>
      <c r="J88" s="5" t="s">
        <v>43</v>
      </c>
      <c r="K88" s="5" t="s">
        <v>50</v>
      </c>
      <c r="L88" s="5"/>
      <c r="M88" s="5" t="s">
        <v>45</v>
      </c>
      <c r="N88" s="5"/>
      <c r="O88" s="5"/>
      <c r="P88" s="5" t="s">
        <v>8</v>
      </c>
      <c r="Q88" s="5" t="s">
        <v>55</v>
      </c>
      <c r="R88" s="5"/>
    </row>
    <row r="89" spans="1:18">
      <c r="A89" s="19" t="str">
        <f>E89&amp;"_"&amp;COUNTIF(E$3:$E89,E89)&amp;"_"&amp;F89</f>
        <v>49_8_Ossature_contreventement_ext</v>
      </c>
      <c r="B89" s="19">
        <v>87</v>
      </c>
      <c r="C89" s="19" t="s">
        <v>123</v>
      </c>
      <c r="D89" s="19" t="s">
        <v>7</v>
      </c>
      <c r="E89" s="5">
        <v>49</v>
      </c>
      <c r="F89" s="5" t="s">
        <v>39</v>
      </c>
      <c r="G89" s="5" t="s">
        <v>40</v>
      </c>
      <c r="H89" s="5" t="s">
        <v>41</v>
      </c>
      <c r="I89" s="5" t="s">
        <v>42</v>
      </c>
      <c r="J89" s="5" t="s">
        <v>43</v>
      </c>
      <c r="K89" s="5" t="s">
        <v>50</v>
      </c>
      <c r="L89" s="5"/>
      <c r="M89" s="5" t="s">
        <v>45</v>
      </c>
      <c r="N89" s="5"/>
      <c r="O89" s="5"/>
      <c r="P89" s="5" t="s">
        <v>8</v>
      </c>
      <c r="Q89" s="5" t="s">
        <v>56</v>
      </c>
      <c r="R89" s="5"/>
    </row>
    <row r="90" spans="1:18">
      <c r="A90" s="19" t="str">
        <f>E90&amp;"_"&amp;COUNTIF(E$3:$E90,E90)&amp;"_"&amp;F90</f>
        <v>49_9_Ossature_contreventement_ext</v>
      </c>
      <c r="B90" s="19">
        <v>88</v>
      </c>
      <c r="C90" s="19" t="s">
        <v>123</v>
      </c>
      <c r="D90" s="19" t="s">
        <v>7</v>
      </c>
      <c r="E90" s="5">
        <v>49</v>
      </c>
      <c r="F90" s="5" t="s">
        <v>39</v>
      </c>
      <c r="G90" s="5" t="s">
        <v>40</v>
      </c>
      <c r="H90" s="5" t="s">
        <v>41</v>
      </c>
      <c r="I90" s="5" t="s">
        <v>42</v>
      </c>
      <c r="J90" s="5" t="s">
        <v>43</v>
      </c>
      <c r="K90" s="5" t="s">
        <v>50</v>
      </c>
      <c r="L90" s="5"/>
      <c r="M90" s="5" t="s">
        <v>45</v>
      </c>
      <c r="N90" s="5"/>
      <c r="O90" s="5"/>
      <c r="P90" s="5" t="s">
        <v>8</v>
      </c>
      <c r="Q90" s="5" t="s">
        <v>57</v>
      </c>
      <c r="R90" s="5"/>
    </row>
    <row r="91" spans="1:18">
      <c r="A91" s="19" t="str">
        <f>E91&amp;"_"&amp;COUNTIF(E$3:$E91,E91)&amp;"_"&amp;F91</f>
        <v>33_3_Ossature_contreventement_ext</v>
      </c>
      <c r="B91" s="19">
        <v>89</v>
      </c>
      <c r="C91" s="19" t="s">
        <v>123</v>
      </c>
      <c r="D91" s="19" t="s">
        <v>7</v>
      </c>
      <c r="E91" s="19">
        <v>33</v>
      </c>
      <c r="F91" s="19" t="s">
        <v>39</v>
      </c>
      <c r="G91" s="19" t="s">
        <v>40</v>
      </c>
      <c r="H91" s="19" t="s">
        <v>41</v>
      </c>
      <c r="I91" s="19" t="s">
        <v>42</v>
      </c>
      <c r="J91" s="19" t="s">
        <v>43</v>
      </c>
      <c r="K91" s="19" t="s">
        <v>44</v>
      </c>
      <c r="L91" s="19"/>
      <c r="M91" s="19" t="s">
        <v>45</v>
      </c>
      <c r="N91" s="19"/>
      <c r="O91" s="19"/>
      <c r="P91" s="19" t="s">
        <v>9</v>
      </c>
      <c r="Q91" s="19" t="s">
        <v>51</v>
      </c>
      <c r="R91" s="19"/>
    </row>
    <row r="92" spans="1:18">
      <c r="A92" s="19" t="str">
        <f>E92&amp;"_"&amp;COUNTIF(E$3:$E92,E92)&amp;"_"&amp;F92</f>
        <v>33_4_Ossature_contreventement_ext</v>
      </c>
      <c r="B92" s="19">
        <v>90</v>
      </c>
      <c r="C92" s="19" t="s">
        <v>123</v>
      </c>
      <c r="D92" s="19" t="s">
        <v>7</v>
      </c>
      <c r="E92" s="19">
        <v>33</v>
      </c>
      <c r="F92" s="19" t="s">
        <v>39</v>
      </c>
      <c r="G92" s="19" t="s">
        <v>40</v>
      </c>
      <c r="H92" s="19" t="s">
        <v>41</v>
      </c>
      <c r="I92" s="19" t="s">
        <v>42</v>
      </c>
      <c r="J92" s="19" t="s">
        <v>43</v>
      </c>
      <c r="K92" s="19" t="s">
        <v>44</v>
      </c>
      <c r="L92" s="19"/>
      <c r="M92" s="19" t="s">
        <v>45</v>
      </c>
      <c r="N92" s="19"/>
      <c r="O92" s="19"/>
      <c r="P92" s="19" t="s">
        <v>9</v>
      </c>
      <c r="Q92" s="19" t="s">
        <v>52</v>
      </c>
      <c r="R92" s="19"/>
    </row>
    <row r="93" spans="1:18">
      <c r="A93" s="19" t="str">
        <f>E93&amp;"_"&amp;COUNTIF(E$3:$E93,E93)&amp;"_"&amp;F93</f>
        <v>34_7_Ossature_contreventement_ext</v>
      </c>
      <c r="B93" s="19">
        <v>91</v>
      </c>
      <c r="C93" s="19" t="s">
        <v>123</v>
      </c>
      <c r="D93" s="19" t="s">
        <v>7</v>
      </c>
      <c r="E93" s="19">
        <v>34</v>
      </c>
      <c r="F93" s="19" t="s">
        <v>39</v>
      </c>
      <c r="G93" s="19" t="s">
        <v>40</v>
      </c>
      <c r="H93" s="19" t="s">
        <v>41</v>
      </c>
      <c r="I93" s="19" t="s">
        <v>42</v>
      </c>
      <c r="J93" s="19" t="s">
        <v>43</v>
      </c>
      <c r="K93" s="19" t="s">
        <v>44</v>
      </c>
      <c r="L93" s="19"/>
      <c r="M93" s="19" t="s">
        <v>45</v>
      </c>
      <c r="N93" s="19"/>
      <c r="O93" s="19"/>
      <c r="P93" s="19" t="s">
        <v>9</v>
      </c>
      <c r="Q93" s="19" t="s">
        <v>53</v>
      </c>
      <c r="R93" s="19"/>
    </row>
    <row r="94" spans="1:18">
      <c r="A94" s="19" t="str">
        <f>E94&amp;"_"&amp;COUNTIF(E$3:$E94,E94)&amp;"_"&amp;F94</f>
        <v>32_2_Ossature_contreventement_ext</v>
      </c>
      <c r="B94" s="19">
        <v>92</v>
      </c>
      <c r="C94" s="19" t="s">
        <v>123</v>
      </c>
      <c r="D94" s="19" t="s">
        <v>7</v>
      </c>
      <c r="E94" s="19">
        <v>32</v>
      </c>
      <c r="F94" s="19" t="s">
        <v>39</v>
      </c>
      <c r="G94" s="19" t="s">
        <v>40</v>
      </c>
      <c r="H94" s="19" t="s">
        <v>41</v>
      </c>
      <c r="I94" s="19" t="s">
        <v>42</v>
      </c>
      <c r="J94" s="19" t="s">
        <v>43</v>
      </c>
      <c r="K94" s="19" t="s">
        <v>44</v>
      </c>
      <c r="L94" s="19"/>
      <c r="M94" s="19" t="s">
        <v>45</v>
      </c>
      <c r="N94" s="19"/>
      <c r="O94" s="19"/>
      <c r="P94" s="19" t="s">
        <v>9</v>
      </c>
      <c r="Q94" s="19" t="s">
        <v>54</v>
      </c>
      <c r="R94" s="19"/>
    </row>
    <row r="95" spans="1:18">
      <c r="A95" s="19" t="str">
        <f>E95&amp;"_"&amp;COUNTIF(E$3:$E95,E95)&amp;"_"&amp;F95</f>
        <v>36_16_Ossature_contreventement_ext</v>
      </c>
      <c r="B95" s="19">
        <v>93</v>
      </c>
      <c r="C95" s="19" t="s">
        <v>123</v>
      </c>
      <c r="D95" s="19" t="s">
        <v>7</v>
      </c>
      <c r="E95" s="19">
        <v>36</v>
      </c>
      <c r="F95" s="19" t="s">
        <v>39</v>
      </c>
      <c r="G95" s="19" t="s">
        <v>40</v>
      </c>
      <c r="H95" s="19" t="s">
        <v>41</v>
      </c>
      <c r="I95" s="19" t="s">
        <v>42</v>
      </c>
      <c r="J95" s="19" t="s">
        <v>43</v>
      </c>
      <c r="K95" s="19" t="s">
        <v>44</v>
      </c>
      <c r="L95" s="19"/>
      <c r="M95" s="19" t="s">
        <v>45</v>
      </c>
      <c r="N95" s="19"/>
      <c r="O95" s="19"/>
      <c r="P95" s="19" t="s">
        <v>9</v>
      </c>
      <c r="Q95" s="19" t="s">
        <v>55</v>
      </c>
      <c r="R95" s="19"/>
    </row>
    <row r="96" spans="1:18">
      <c r="A96" s="19" t="str">
        <f>E96&amp;"_"&amp;COUNTIF(E$3:$E96,E96)&amp;"_"&amp;F96</f>
        <v>45_1_Ossature_contreventement_ext</v>
      </c>
      <c r="B96" s="19">
        <v>94</v>
      </c>
      <c r="C96" s="19" t="s">
        <v>123</v>
      </c>
      <c r="D96" s="19" t="s">
        <v>7</v>
      </c>
      <c r="E96" s="19">
        <v>45</v>
      </c>
      <c r="F96" s="19" t="s">
        <v>39</v>
      </c>
      <c r="G96" s="19" t="s">
        <v>40</v>
      </c>
      <c r="H96" s="19" t="s">
        <v>41</v>
      </c>
      <c r="I96" s="19" t="s">
        <v>42</v>
      </c>
      <c r="J96" s="19" t="s">
        <v>43</v>
      </c>
      <c r="K96" s="19" t="s">
        <v>44</v>
      </c>
      <c r="L96" s="19"/>
      <c r="M96" s="19" t="s">
        <v>45</v>
      </c>
      <c r="N96" s="19"/>
      <c r="O96" s="19"/>
      <c r="P96" s="19" t="s">
        <v>9</v>
      </c>
      <c r="Q96" s="19" t="s">
        <v>56</v>
      </c>
      <c r="R96" s="19"/>
    </row>
    <row r="97" spans="1:18">
      <c r="A97" s="19" t="str">
        <f>E97&amp;"_"&amp;COUNTIF(E$3:$E97,E97)&amp;"_"&amp;F97</f>
        <v>46_1_Ossature_contreventement_ext</v>
      </c>
      <c r="B97" s="19">
        <v>95</v>
      </c>
      <c r="C97" s="19" t="s">
        <v>123</v>
      </c>
      <c r="D97" s="19" t="s">
        <v>7</v>
      </c>
      <c r="E97" s="19">
        <v>46</v>
      </c>
      <c r="F97" s="19" t="s">
        <v>39</v>
      </c>
      <c r="G97" s="19" t="s">
        <v>40</v>
      </c>
      <c r="H97" s="19" t="s">
        <v>41</v>
      </c>
      <c r="I97" s="19" t="s">
        <v>42</v>
      </c>
      <c r="J97" s="19" t="s">
        <v>43</v>
      </c>
      <c r="K97" s="19" t="s">
        <v>44</v>
      </c>
      <c r="L97" s="19"/>
      <c r="M97" s="19" t="s">
        <v>45</v>
      </c>
      <c r="N97" s="19"/>
      <c r="O97" s="19"/>
      <c r="P97" s="19" t="s">
        <v>9</v>
      </c>
      <c r="Q97" s="19" t="s">
        <v>57</v>
      </c>
      <c r="R97" s="19"/>
    </row>
    <row r="98" spans="1:18">
      <c r="A98" s="19" t="str">
        <f>E98&amp;"_"&amp;COUNTIF(E$3:$E98,E98)&amp;"_"&amp;F98</f>
        <v>35_10_Ossature_contreventement_ext</v>
      </c>
      <c r="B98" s="19">
        <v>96</v>
      </c>
      <c r="C98" s="19" t="s">
        <v>123</v>
      </c>
      <c r="D98" s="19" t="s">
        <v>7</v>
      </c>
      <c r="E98" s="5">
        <v>35</v>
      </c>
      <c r="F98" s="5" t="s">
        <v>39</v>
      </c>
      <c r="G98" s="5" t="s">
        <v>40</v>
      </c>
      <c r="H98" s="5" t="s">
        <v>41</v>
      </c>
      <c r="I98" s="5" t="s">
        <v>42</v>
      </c>
      <c r="J98" s="5" t="s">
        <v>43</v>
      </c>
      <c r="K98" s="5" t="s">
        <v>44</v>
      </c>
      <c r="L98" s="5"/>
      <c r="M98" s="5" t="s">
        <v>45</v>
      </c>
      <c r="N98" s="5"/>
      <c r="O98" s="5"/>
      <c r="P98" s="5" t="s">
        <v>10</v>
      </c>
      <c r="Q98" s="5" t="s">
        <v>51</v>
      </c>
      <c r="R98" s="5"/>
    </row>
    <row r="99" spans="1:18">
      <c r="A99" s="19" t="str">
        <f>E99&amp;"_"&amp;COUNTIF(E$3:$E99,E99)&amp;"_"&amp;F99</f>
        <v>35_11_Ossature_contreventement_ext</v>
      </c>
      <c r="B99" s="19">
        <v>97</v>
      </c>
      <c r="C99" s="19" t="s">
        <v>123</v>
      </c>
      <c r="D99" s="19" t="s">
        <v>7</v>
      </c>
      <c r="E99" s="5">
        <v>35</v>
      </c>
      <c r="F99" s="5" t="s">
        <v>39</v>
      </c>
      <c r="G99" s="5" t="s">
        <v>40</v>
      </c>
      <c r="H99" s="5" t="s">
        <v>41</v>
      </c>
      <c r="I99" s="5" t="s">
        <v>42</v>
      </c>
      <c r="J99" s="5" t="s">
        <v>43</v>
      </c>
      <c r="K99" s="5" t="s">
        <v>44</v>
      </c>
      <c r="L99" s="5"/>
      <c r="M99" s="5" t="s">
        <v>45</v>
      </c>
      <c r="N99" s="5"/>
      <c r="O99" s="5"/>
      <c r="P99" s="5" t="s">
        <v>10</v>
      </c>
      <c r="Q99" s="5" t="s">
        <v>52</v>
      </c>
      <c r="R99" s="5"/>
    </row>
    <row r="100" spans="1:18">
      <c r="A100" s="19" t="str">
        <f>E100&amp;"_"&amp;COUNTIF(E$3:$E100,E100)&amp;"_"&amp;F100</f>
        <v>36_17_Ossature_contreventement_ext</v>
      </c>
      <c r="B100" s="19">
        <v>98</v>
      </c>
      <c r="C100" s="19" t="s">
        <v>123</v>
      </c>
      <c r="D100" s="19" t="s">
        <v>7</v>
      </c>
      <c r="E100" s="5">
        <v>36</v>
      </c>
      <c r="F100" s="5" t="s">
        <v>39</v>
      </c>
      <c r="G100" s="5" t="s">
        <v>40</v>
      </c>
      <c r="H100" s="5" t="s">
        <v>41</v>
      </c>
      <c r="I100" s="5" t="s">
        <v>42</v>
      </c>
      <c r="J100" s="5" t="s">
        <v>43</v>
      </c>
      <c r="K100" s="5" t="s">
        <v>44</v>
      </c>
      <c r="L100" s="5"/>
      <c r="M100" s="5" t="s">
        <v>45</v>
      </c>
      <c r="N100" s="5"/>
      <c r="O100" s="5"/>
      <c r="P100" s="5" t="s">
        <v>10</v>
      </c>
      <c r="Q100" s="5" t="s">
        <v>53</v>
      </c>
      <c r="R100" s="5"/>
    </row>
    <row r="101" spans="1:18">
      <c r="A101" s="19" t="str">
        <f>E101&amp;"_"&amp;COUNTIF(E$3:$E101,E101)&amp;"_"&amp;F101</f>
        <v>34_8_Ossature_contreventement_ext</v>
      </c>
      <c r="B101" s="19">
        <v>99</v>
      </c>
      <c r="C101" s="19" t="s">
        <v>123</v>
      </c>
      <c r="D101" s="19" t="s">
        <v>7</v>
      </c>
      <c r="E101" s="5">
        <v>34</v>
      </c>
      <c r="F101" s="5" t="s">
        <v>39</v>
      </c>
      <c r="G101" s="5" t="s">
        <v>40</v>
      </c>
      <c r="H101" s="5" t="s">
        <v>41</v>
      </c>
      <c r="I101" s="5" t="s">
        <v>42</v>
      </c>
      <c r="J101" s="5" t="s">
        <v>43</v>
      </c>
      <c r="K101" s="5" t="s">
        <v>44</v>
      </c>
      <c r="L101" s="5"/>
      <c r="M101" s="5" t="s">
        <v>45</v>
      </c>
      <c r="N101" s="5"/>
      <c r="O101" s="5"/>
      <c r="P101" s="5" t="s">
        <v>10</v>
      </c>
      <c r="Q101" s="5" t="s">
        <v>54</v>
      </c>
      <c r="R101" s="5"/>
    </row>
    <row r="102" spans="1:18">
      <c r="A102" s="19" t="str">
        <f>E102&amp;"_"&amp;COUNTIF(E$3:$E102,E102)&amp;"_"&amp;F102</f>
        <v>38_14_Ossature_contreventement_ext</v>
      </c>
      <c r="B102" s="19">
        <v>100</v>
      </c>
      <c r="C102" s="19" t="s">
        <v>123</v>
      </c>
      <c r="D102" s="19" t="s">
        <v>7</v>
      </c>
      <c r="E102" s="5">
        <v>38</v>
      </c>
      <c r="F102" s="5" t="s">
        <v>39</v>
      </c>
      <c r="G102" s="5" t="s">
        <v>40</v>
      </c>
      <c r="H102" s="5" t="s">
        <v>41</v>
      </c>
      <c r="I102" s="5" t="s">
        <v>42</v>
      </c>
      <c r="J102" s="5" t="s">
        <v>43</v>
      </c>
      <c r="K102" s="5" t="s">
        <v>44</v>
      </c>
      <c r="L102" s="5"/>
      <c r="M102" s="5" t="s">
        <v>45</v>
      </c>
      <c r="N102" s="5"/>
      <c r="O102" s="5"/>
      <c r="P102" s="5" t="s">
        <v>10</v>
      </c>
      <c r="Q102" s="5" t="s">
        <v>55</v>
      </c>
      <c r="R102" s="5"/>
    </row>
    <row r="103" spans="1:18">
      <c r="A103" s="19" t="str">
        <f>E103&amp;"_"&amp;COUNTIF(E$3:$E103,E103)&amp;"_"&amp;F103</f>
        <v>47_2_Ossature_contreventement_ext</v>
      </c>
      <c r="B103" s="19">
        <v>101</v>
      </c>
      <c r="C103" s="19" t="s">
        <v>123</v>
      </c>
      <c r="D103" s="19" t="s">
        <v>7</v>
      </c>
      <c r="E103" s="5">
        <v>47</v>
      </c>
      <c r="F103" s="5" t="s">
        <v>39</v>
      </c>
      <c r="G103" s="5" t="s">
        <v>40</v>
      </c>
      <c r="H103" s="5" t="s">
        <v>41</v>
      </c>
      <c r="I103" s="5" t="s">
        <v>42</v>
      </c>
      <c r="J103" s="5" t="s">
        <v>43</v>
      </c>
      <c r="K103" s="5" t="s">
        <v>44</v>
      </c>
      <c r="L103" s="5"/>
      <c r="M103" s="5" t="s">
        <v>45</v>
      </c>
      <c r="N103" s="5"/>
      <c r="O103" s="5"/>
      <c r="P103" s="5" t="s">
        <v>10</v>
      </c>
      <c r="Q103" s="5" t="s">
        <v>56</v>
      </c>
      <c r="R103" s="5"/>
    </row>
    <row r="104" spans="1:18">
      <c r="A104" s="19" t="str">
        <f>E104&amp;"_"&amp;COUNTIF(E$3:$E104,E104)&amp;"_"&amp;F104</f>
        <v>48_3_Ossature_contreventement_ext</v>
      </c>
      <c r="B104" s="19">
        <v>102</v>
      </c>
      <c r="C104" s="19" t="s">
        <v>123</v>
      </c>
      <c r="D104" s="19" t="s">
        <v>7</v>
      </c>
      <c r="E104" s="5">
        <v>48</v>
      </c>
      <c r="F104" s="5" t="s">
        <v>39</v>
      </c>
      <c r="G104" s="5" t="s">
        <v>40</v>
      </c>
      <c r="H104" s="5" t="s">
        <v>41</v>
      </c>
      <c r="I104" s="5" t="s">
        <v>42</v>
      </c>
      <c r="J104" s="5" t="s">
        <v>43</v>
      </c>
      <c r="K104" s="5" t="s">
        <v>44</v>
      </c>
      <c r="L104" s="5"/>
      <c r="M104" s="5" t="s">
        <v>45</v>
      </c>
      <c r="N104" s="5"/>
      <c r="O104" s="5"/>
      <c r="P104" s="5" t="s">
        <v>10</v>
      </c>
      <c r="Q104" s="5" t="s">
        <v>57</v>
      </c>
      <c r="R104" s="5"/>
    </row>
    <row r="105" spans="1:18">
      <c r="A105" s="19" t="str">
        <f>E105&amp;"_"&amp;COUNTIF(E$3:$E105,E105)&amp;"_"&amp;F105</f>
        <v>34_9_Ossature_contreventement_ext</v>
      </c>
      <c r="B105" s="19">
        <v>103</v>
      </c>
      <c r="C105" s="19" t="s">
        <v>123</v>
      </c>
      <c r="D105" s="19" t="s">
        <v>7</v>
      </c>
      <c r="E105" s="19">
        <v>34</v>
      </c>
      <c r="F105" s="19" t="s">
        <v>39</v>
      </c>
      <c r="G105" s="19" t="s">
        <v>40</v>
      </c>
      <c r="H105" s="19" t="s">
        <v>41</v>
      </c>
      <c r="I105" s="19" t="s">
        <v>42</v>
      </c>
      <c r="J105" s="19" t="s">
        <v>43</v>
      </c>
      <c r="K105" s="19" t="s">
        <v>44</v>
      </c>
      <c r="L105" s="19"/>
      <c r="M105" s="19" t="s">
        <v>45</v>
      </c>
      <c r="N105" s="19"/>
      <c r="O105" s="19"/>
      <c r="P105" s="19" t="s">
        <v>11</v>
      </c>
      <c r="Q105" s="19" t="s">
        <v>51</v>
      </c>
      <c r="R105" s="19"/>
    </row>
    <row r="106" spans="1:18">
      <c r="A106" s="19" t="str">
        <f>E106&amp;"_"&amp;COUNTIF(E$3:$E106,E106)&amp;"_"&amp;F106</f>
        <v>34_10_Ossature_contreventement_ext</v>
      </c>
      <c r="B106" s="19">
        <v>104</v>
      </c>
      <c r="C106" s="19" t="s">
        <v>123</v>
      </c>
      <c r="D106" s="19" t="s">
        <v>7</v>
      </c>
      <c r="E106" s="19">
        <v>34</v>
      </c>
      <c r="F106" s="19" t="s">
        <v>39</v>
      </c>
      <c r="G106" s="19" t="s">
        <v>40</v>
      </c>
      <c r="H106" s="19" t="s">
        <v>41</v>
      </c>
      <c r="I106" s="19" t="s">
        <v>42</v>
      </c>
      <c r="J106" s="19" t="s">
        <v>43</v>
      </c>
      <c r="K106" s="19" t="s">
        <v>44</v>
      </c>
      <c r="L106" s="19"/>
      <c r="M106" s="19" t="s">
        <v>45</v>
      </c>
      <c r="N106" s="19"/>
      <c r="O106" s="19"/>
      <c r="P106" s="19" t="s">
        <v>11</v>
      </c>
      <c r="Q106" s="19" t="s">
        <v>52</v>
      </c>
      <c r="R106" s="19"/>
    </row>
    <row r="107" spans="1:18">
      <c r="A107" s="19" t="str">
        <f>E107&amp;"_"&amp;COUNTIF(E$3:$E107,E107)&amp;"_"&amp;F107</f>
        <v>35_12_Ossature_contreventement_ext</v>
      </c>
      <c r="B107" s="19">
        <v>105</v>
      </c>
      <c r="C107" s="19" t="s">
        <v>123</v>
      </c>
      <c r="D107" s="19" t="s">
        <v>7</v>
      </c>
      <c r="E107" s="19">
        <v>35</v>
      </c>
      <c r="F107" s="19" t="s">
        <v>39</v>
      </c>
      <c r="G107" s="19" t="s">
        <v>40</v>
      </c>
      <c r="H107" s="19" t="s">
        <v>41</v>
      </c>
      <c r="I107" s="19" t="s">
        <v>42</v>
      </c>
      <c r="J107" s="19" t="s">
        <v>43</v>
      </c>
      <c r="K107" s="19" t="s">
        <v>44</v>
      </c>
      <c r="L107" s="19"/>
      <c r="M107" s="19" t="s">
        <v>45</v>
      </c>
      <c r="N107" s="19"/>
      <c r="O107" s="19"/>
      <c r="P107" s="19" t="s">
        <v>11</v>
      </c>
      <c r="Q107" s="19" t="s">
        <v>53</v>
      </c>
      <c r="R107" s="19"/>
    </row>
    <row r="108" spans="1:18">
      <c r="A108" s="19" t="str">
        <f>E108&amp;"_"&amp;COUNTIF(E$3:$E108,E108)&amp;"_"&amp;F108</f>
        <v>33_5_Ossature_contreventement_ext</v>
      </c>
      <c r="B108" s="19">
        <v>106</v>
      </c>
      <c r="C108" s="19" t="s">
        <v>123</v>
      </c>
      <c r="D108" s="19" t="s">
        <v>7</v>
      </c>
      <c r="E108" s="19">
        <v>33</v>
      </c>
      <c r="F108" s="19" t="s">
        <v>39</v>
      </c>
      <c r="G108" s="19" t="s">
        <v>40</v>
      </c>
      <c r="H108" s="19" t="s">
        <v>41</v>
      </c>
      <c r="I108" s="19" t="s">
        <v>42</v>
      </c>
      <c r="J108" s="19" t="s">
        <v>43</v>
      </c>
      <c r="K108" s="19" t="s">
        <v>44</v>
      </c>
      <c r="L108" s="19"/>
      <c r="M108" s="19" t="s">
        <v>45</v>
      </c>
      <c r="N108" s="19"/>
      <c r="O108" s="19"/>
      <c r="P108" s="19" t="s">
        <v>11</v>
      </c>
      <c r="Q108" s="19" t="s">
        <v>54</v>
      </c>
      <c r="R108" s="19"/>
    </row>
    <row r="109" spans="1:18">
      <c r="A109" s="19" t="str">
        <f>E109&amp;"_"&amp;COUNTIF(E$3:$E109,E109)&amp;"_"&amp;F109</f>
        <v>37_15_Ossature_contreventement_ext</v>
      </c>
      <c r="B109" s="19">
        <v>107</v>
      </c>
      <c r="C109" s="19" t="s">
        <v>123</v>
      </c>
      <c r="D109" s="19" t="s">
        <v>7</v>
      </c>
      <c r="E109" s="19">
        <v>37</v>
      </c>
      <c r="F109" s="19" t="s">
        <v>39</v>
      </c>
      <c r="G109" s="19" t="s">
        <v>40</v>
      </c>
      <c r="H109" s="19" t="s">
        <v>41</v>
      </c>
      <c r="I109" s="19" t="s">
        <v>42</v>
      </c>
      <c r="J109" s="19" t="s">
        <v>43</v>
      </c>
      <c r="K109" s="19" t="s">
        <v>44</v>
      </c>
      <c r="L109" s="19"/>
      <c r="M109" s="19" t="s">
        <v>45</v>
      </c>
      <c r="N109" s="19"/>
      <c r="O109" s="19"/>
      <c r="P109" s="19" t="s">
        <v>11</v>
      </c>
      <c r="Q109" s="19" t="s">
        <v>55</v>
      </c>
      <c r="R109" s="19"/>
    </row>
    <row r="110" spans="1:18">
      <c r="A110" s="19" t="str">
        <f>E110&amp;"_"&amp;COUNTIF(E$3:$E110,E110)&amp;"_"&amp;F110</f>
        <v>46_2_Ossature_contreventement_ext</v>
      </c>
      <c r="B110" s="19">
        <v>108</v>
      </c>
      <c r="C110" s="19" t="s">
        <v>123</v>
      </c>
      <c r="D110" s="19" t="s">
        <v>7</v>
      </c>
      <c r="E110" s="19">
        <v>46</v>
      </c>
      <c r="F110" s="19" t="s">
        <v>39</v>
      </c>
      <c r="G110" s="19" t="s">
        <v>40</v>
      </c>
      <c r="H110" s="19" t="s">
        <v>41</v>
      </c>
      <c r="I110" s="19" t="s">
        <v>42</v>
      </c>
      <c r="J110" s="19" t="s">
        <v>43</v>
      </c>
      <c r="K110" s="19" t="s">
        <v>44</v>
      </c>
      <c r="L110" s="19"/>
      <c r="M110" s="19" t="s">
        <v>45</v>
      </c>
      <c r="N110" s="19"/>
      <c r="O110" s="19"/>
      <c r="P110" s="19" t="s">
        <v>11</v>
      </c>
      <c r="Q110" s="19" t="s">
        <v>56</v>
      </c>
      <c r="R110" s="19"/>
    </row>
    <row r="111" spans="1:18">
      <c r="A111" s="19" t="str">
        <f>E111&amp;"_"&amp;COUNTIF(E$3:$E111,E111)&amp;"_"&amp;F111</f>
        <v>47_3_Ossature_contreventement_ext</v>
      </c>
      <c r="B111" s="19">
        <v>109</v>
      </c>
      <c r="C111" s="19" t="s">
        <v>123</v>
      </c>
      <c r="D111" s="19" t="s">
        <v>7</v>
      </c>
      <c r="E111" s="19">
        <v>47</v>
      </c>
      <c r="F111" s="19" t="s">
        <v>39</v>
      </c>
      <c r="G111" s="19" t="s">
        <v>40</v>
      </c>
      <c r="H111" s="19" t="s">
        <v>41</v>
      </c>
      <c r="I111" s="19" t="s">
        <v>42</v>
      </c>
      <c r="J111" s="19" t="s">
        <v>43</v>
      </c>
      <c r="K111" s="19" t="s">
        <v>44</v>
      </c>
      <c r="L111" s="19"/>
      <c r="M111" s="19" t="s">
        <v>45</v>
      </c>
      <c r="N111" s="19"/>
      <c r="O111" s="19"/>
      <c r="P111" s="19" t="s">
        <v>11</v>
      </c>
      <c r="Q111" s="19" t="s">
        <v>57</v>
      </c>
      <c r="R111" s="19"/>
    </row>
    <row r="112" spans="1:18">
      <c r="A112" s="19" t="str">
        <f>E112&amp;"_"&amp;COUNTIF(E$3:$E112,E112)&amp;"_"&amp;F112</f>
        <v>35_13_Ossature_contreventement_ext</v>
      </c>
      <c r="B112" s="19">
        <v>110</v>
      </c>
      <c r="C112" s="19" t="s">
        <v>123</v>
      </c>
      <c r="D112" s="19" t="s">
        <v>7</v>
      </c>
      <c r="E112" s="5">
        <v>35</v>
      </c>
      <c r="F112" s="5" t="s">
        <v>39</v>
      </c>
      <c r="G112" s="5" t="s">
        <v>40</v>
      </c>
      <c r="H112" s="5" t="s">
        <v>41</v>
      </c>
      <c r="I112" s="5" t="s">
        <v>42</v>
      </c>
      <c r="J112" s="5" t="s">
        <v>43</v>
      </c>
      <c r="K112" s="5" t="s">
        <v>44</v>
      </c>
      <c r="L112" s="5"/>
      <c r="M112" s="5" t="s">
        <v>45</v>
      </c>
      <c r="N112" s="5"/>
      <c r="O112" s="5"/>
      <c r="P112" s="5" t="s">
        <v>12</v>
      </c>
      <c r="Q112" s="5" t="s">
        <v>51</v>
      </c>
      <c r="R112" s="5"/>
    </row>
    <row r="113" spans="1:18">
      <c r="A113" s="19" t="str">
        <f>E113&amp;"_"&amp;COUNTIF(E$3:$E113,E113)&amp;"_"&amp;F113</f>
        <v>35_14_Ossature_contreventement_ext</v>
      </c>
      <c r="B113" s="19">
        <v>111</v>
      </c>
      <c r="C113" s="19" t="s">
        <v>123</v>
      </c>
      <c r="D113" s="19" t="s">
        <v>7</v>
      </c>
      <c r="E113" s="5">
        <v>35</v>
      </c>
      <c r="F113" s="5" t="s">
        <v>39</v>
      </c>
      <c r="G113" s="5" t="s">
        <v>40</v>
      </c>
      <c r="H113" s="5" t="s">
        <v>41</v>
      </c>
      <c r="I113" s="5" t="s">
        <v>42</v>
      </c>
      <c r="J113" s="5" t="s">
        <v>43</v>
      </c>
      <c r="K113" s="5" t="s">
        <v>44</v>
      </c>
      <c r="L113" s="5"/>
      <c r="M113" s="5" t="s">
        <v>45</v>
      </c>
      <c r="N113" s="5"/>
      <c r="O113" s="5"/>
      <c r="P113" s="5" t="s">
        <v>12</v>
      </c>
      <c r="Q113" s="5" t="s">
        <v>52</v>
      </c>
      <c r="R113" s="5"/>
    </row>
    <row r="114" spans="1:18">
      <c r="A114" s="19" t="str">
        <f>E114&amp;"_"&amp;COUNTIF(E$3:$E114,E114)&amp;"_"&amp;F114</f>
        <v>36_18_Ossature_contreventement_ext</v>
      </c>
      <c r="B114" s="19">
        <v>112</v>
      </c>
      <c r="C114" s="19" t="s">
        <v>123</v>
      </c>
      <c r="D114" s="19" t="s">
        <v>7</v>
      </c>
      <c r="E114" s="5">
        <v>36</v>
      </c>
      <c r="F114" s="5" t="s">
        <v>39</v>
      </c>
      <c r="G114" s="5" t="s">
        <v>40</v>
      </c>
      <c r="H114" s="5" t="s">
        <v>41</v>
      </c>
      <c r="I114" s="5" t="s">
        <v>42</v>
      </c>
      <c r="J114" s="5" t="s">
        <v>43</v>
      </c>
      <c r="K114" s="5" t="s">
        <v>44</v>
      </c>
      <c r="L114" s="5"/>
      <c r="M114" s="5" t="s">
        <v>45</v>
      </c>
      <c r="N114" s="5"/>
      <c r="O114" s="5"/>
      <c r="P114" s="5" t="s">
        <v>12</v>
      </c>
      <c r="Q114" s="5" t="s">
        <v>53</v>
      </c>
      <c r="R114" s="5"/>
    </row>
    <row r="115" spans="1:18">
      <c r="A115" s="19" t="str">
        <f>E115&amp;"_"&amp;COUNTIF(E$3:$E115,E115)&amp;"_"&amp;F115</f>
        <v>34_11_Ossature_contreventement_ext</v>
      </c>
      <c r="B115" s="19">
        <v>113</v>
      </c>
      <c r="C115" s="19" t="s">
        <v>123</v>
      </c>
      <c r="D115" s="19" t="s">
        <v>7</v>
      </c>
      <c r="E115" s="5">
        <v>34</v>
      </c>
      <c r="F115" s="5" t="s">
        <v>39</v>
      </c>
      <c r="G115" s="5" t="s">
        <v>40</v>
      </c>
      <c r="H115" s="5" t="s">
        <v>41</v>
      </c>
      <c r="I115" s="5" t="s">
        <v>42</v>
      </c>
      <c r="J115" s="5" t="s">
        <v>43</v>
      </c>
      <c r="K115" s="5" t="s">
        <v>44</v>
      </c>
      <c r="L115" s="5"/>
      <c r="M115" s="5" t="s">
        <v>45</v>
      </c>
      <c r="N115" s="5"/>
      <c r="O115" s="5"/>
      <c r="P115" s="5" t="s">
        <v>12</v>
      </c>
      <c r="Q115" s="5" t="s">
        <v>54</v>
      </c>
      <c r="R115" s="5"/>
    </row>
    <row r="116" spans="1:18">
      <c r="A116" s="19" t="str">
        <f>E116&amp;"_"&amp;COUNTIF(E$3:$E116,E116)&amp;"_"&amp;F116</f>
        <v>38_15_Ossature_contreventement_ext</v>
      </c>
      <c r="B116" s="19">
        <v>114</v>
      </c>
      <c r="C116" s="19" t="s">
        <v>123</v>
      </c>
      <c r="D116" s="19" t="s">
        <v>7</v>
      </c>
      <c r="E116" s="5">
        <v>38</v>
      </c>
      <c r="F116" s="5" t="s">
        <v>39</v>
      </c>
      <c r="G116" s="5" t="s">
        <v>40</v>
      </c>
      <c r="H116" s="5" t="s">
        <v>41</v>
      </c>
      <c r="I116" s="5" t="s">
        <v>42</v>
      </c>
      <c r="J116" s="5" t="s">
        <v>43</v>
      </c>
      <c r="K116" s="5" t="s">
        <v>44</v>
      </c>
      <c r="L116" s="5"/>
      <c r="M116" s="5" t="s">
        <v>45</v>
      </c>
      <c r="N116" s="5"/>
      <c r="O116" s="5"/>
      <c r="P116" s="5" t="s">
        <v>12</v>
      </c>
      <c r="Q116" s="5" t="s">
        <v>55</v>
      </c>
      <c r="R116" s="5"/>
    </row>
    <row r="117" spans="1:18">
      <c r="A117" s="19" t="str">
        <f>E117&amp;"_"&amp;COUNTIF(E$3:$E117,E117)&amp;"_"&amp;F117</f>
        <v>47_4_Ossature_contreventement_ext</v>
      </c>
      <c r="B117" s="19">
        <v>115</v>
      </c>
      <c r="C117" s="19" t="s">
        <v>123</v>
      </c>
      <c r="D117" s="19" t="s">
        <v>7</v>
      </c>
      <c r="E117" s="5">
        <v>47</v>
      </c>
      <c r="F117" s="5" t="s">
        <v>39</v>
      </c>
      <c r="G117" s="5" t="s">
        <v>40</v>
      </c>
      <c r="H117" s="5" t="s">
        <v>41</v>
      </c>
      <c r="I117" s="5" t="s">
        <v>42</v>
      </c>
      <c r="J117" s="5" t="s">
        <v>43</v>
      </c>
      <c r="K117" s="5" t="s">
        <v>44</v>
      </c>
      <c r="L117" s="5"/>
      <c r="M117" s="5" t="s">
        <v>45</v>
      </c>
      <c r="N117" s="5"/>
      <c r="O117" s="5"/>
      <c r="P117" s="5" t="s">
        <v>12</v>
      </c>
      <c r="Q117" s="5" t="s">
        <v>56</v>
      </c>
      <c r="R117" s="5"/>
    </row>
    <row r="118" spans="1:18">
      <c r="A118" s="19" t="str">
        <f>E118&amp;"_"&amp;COUNTIF(E$3:$E118,E118)&amp;"_"&amp;F118</f>
        <v>48_4_Ossature_contreventement_ext</v>
      </c>
      <c r="B118" s="19">
        <v>116</v>
      </c>
      <c r="C118" s="19" t="s">
        <v>123</v>
      </c>
      <c r="D118" s="19" t="s">
        <v>7</v>
      </c>
      <c r="E118" s="5">
        <v>48</v>
      </c>
      <c r="F118" s="5" t="s">
        <v>39</v>
      </c>
      <c r="G118" s="5" t="s">
        <v>40</v>
      </c>
      <c r="H118" s="5" t="s">
        <v>41</v>
      </c>
      <c r="I118" s="5" t="s">
        <v>42</v>
      </c>
      <c r="J118" s="5" t="s">
        <v>43</v>
      </c>
      <c r="K118" s="5" t="s">
        <v>44</v>
      </c>
      <c r="L118" s="5"/>
      <c r="M118" s="5" t="s">
        <v>45</v>
      </c>
      <c r="N118" s="5"/>
      <c r="O118" s="5"/>
      <c r="P118" s="5" t="s">
        <v>12</v>
      </c>
      <c r="Q118" s="5" t="s">
        <v>57</v>
      </c>
      <c r="R118" s="5"/>
    </row>
    <row r="119" spans="1:18">
      <c r="A119" s="19" t="str">
        <f>E119&amp;"_"&amp;COUNTIF(E$3:$E119,E119)&amp;"_"&amp;F119</f>
        <v>37_16_Ossature_contreventement_ext</v>
      </c>
      <c r="B119" s="19">
        <v>117</v>
      </c>
      <c r="C119" s="19" t="s">
        <v>123</v>
      </c>
      <c r="D119" s="19" t="s">
        <v>7</v>
      </c>
      <c r="E119" s="19">
        <v>37</v>
      </c>
      <c r="F119" s="19" t="s">
        <v>39</v>
      </c>
      <c r="G119" s="19" t="s">
        <v>40</v>
      </c>
      <c r="H119" s="19" t="s">
        <v>41</v>
      </c>
      <c r="I119" s="19" t="s">
        <v>42</v>
      </c>
      <c r="J119" s="19" t="s">
        <v>43</v>
      </c>
      <c r="K119" s="19" t="s">
        <v>44</v>
      </c>
      <c r="L119" s="19"/>
      <c r="M119" s="19" t="s">
        <v>45</v>
      </c>
      <c r="N119" s="19"/>
      <c r="O119" s="19"/>
      <c r="P119" s="19" t="s">
        <v>13</v>
      </c>
      <c r="Q119" s="19" t="s">
        <v>51</v>
      </c>
      <c r="R119" s="19"/>
    </row>
    <row r="120" spans="1:18">
      <c r="A120" s="19" t="str">
        <f>E120&amp;"_"&amp;COUNTIF(E$3:$E120,E120)&amp;"_"&amp;F120</f>
        <v>37_17_Ossature_contreventement_ext</v>
      </c>
      <c r="B120" s="19">
        <v>118</v>
      </c>
      <c r="C120" s="19" t="s">
        <v>123</v>
      </c>
      <c r="D120" s="19" t="s">
        <v>7</v>
      </c>
      <c r="E120" s="19">
        <v>37</v>
      </c>
      <c r="F120" s="19" t="s">
        <v>39</v>
      </c>
      <c r="G120" s="19" t="s">
        <v>40</v>
      </c>
      <c r="H120" s="19" t="s">
        <v>41</v>
      </c>
      <c r="I120" s="19" t="s">
        <v>42</v>
      </c>
      <c r="J120" s="19" t="s">
        <v>43</v>
      </c>
      <c r="K120" s="19" t="s">
        <v>44</v>
      </c>
      <c r="L120" s="19"/>
      <c r="M120" s="19" t="s">
        <v>45</v>
      </c>
      <c r="N120" s="19"/>
      <c r="O120" s="19"/>
      <c r="P120" s="19" t="s">
        <v>13</v>
      </c>
      <c r="Q120" s="19" t="s">
        <v>52</v>
      </c>
      <c r="R120" s="19"/>
    </row>
    <row r="121" spans="1:18">
      <c r="A121" s="19" t="str">
        <f>E121&amp;"_"&amp;COUNTIF(E$3:$E121,E121)&amp;"_"&amp;F121</f>
        <v>38_16_Ossature_contreventement_ext</v>
      </c>
      <c r="B121" s="19">
        <v>119</v>
      </c>
      <c r="C121" s="19" t="s">
        <v>123</v>
      </c>
      <c r="D121" s="19" t="s">
        <v>7</v>
      </c>
      <c r="E121" s="19">
        <v>38</v>
      </c>
      <c r="F121" s="19" t="s">
        <v>39</v>
      </c>
      <c r="G121" s="19" t="s">
        <v>40</v>
      </c>
      <c r="H121" s="19" t="s">
        <v>41</v>
      </c>
      <c r="I121" s="19" t="s">
        <v>42</v>
      </c>
      <c r="J121" s="19" t="s">
        <v>43</v>
      </c>
      <c r="K121" s="19" t="s">
        <v>44</v>
      </c>
      <c r="L121" s="19"/>
      <c r="M121" s="19" t="s">
        <v>45</v>
      </c>
      <c r="N121" s="19"/>
      <c r="O121" s="19"/>
      <c r="P121" s="19" t="s">
        <v>13</v>
      </c>
      <c r="Q121" s="19" t="s">
        <v>53</v>
      </c>
      <c r="R121" s="19"/>
    </row>
    <row r="122" spans="1:18">
      <c r="A122" s="19" t="str">
        <f>E122&amp;"_"&amp;COUNTIF(E$3:$E122,E122)&amp;"_"&amp;F122</f>
        <v>36_19_Ossature_contreventement_ext</v>
      </c>
      <c r="B122" s="19">
        <v>120</v>
      </c>
      <c r="C122" s="19" t="s">
        <v>123</v>
      </c>
      <c r="D122" s="19" t="s">
        <v>7</v>
      </c>
      <c r="E122" s="19">
        <v>36</v>
      </c>
      <c r="F122" s="19" t="s">
        <v>39</v>
      </c>
      <c r="G122" s="19" t="s">
        <v>40</v>
      </c>
      <c r="H122" s="19" t="s">
        <v>41</v>
      </c>
      <c r="I122" s="19" t="s">
        <v>42</v>
      </c>
      <c r="J122" s="19" t="s">
        <v>43</v>
      </c>
      <c r="K122" s="19" t="s">
        <v>44</v>
      </c>
      <c r="L122" s="19"/>
      <c r="M122" s="19" t="s">
        <v>45</v>
      </c>
      <c r="N122" s="19"/>
      <c r="O122" s="19"/>
      <c r="P122" s="19" t="s">
        <v>13</v>
      </c>
      <c r="Q122" s="19" t="s">
        <v>54</v>
      </c>
      <c r="R122" s="19"/>
    </row>
    <row r="123" spans="1:18">
      <c r="A123" s="19" t="str">
        <f>E123&amp;"_"&amp;COUNTIF(E$3:$E123,E123)&amp;"_"&amp;F123</f>
        <v>40_6_Ossature_contreventement_ext</v>
      </c>
      <c r="B123" s="19">
        <v>121</v>
      </c>
      <c r="C123" s="19" t="s">
        <v>123</v>
      </c>
      <c r="D123" s="19" t="s">
        <v>7</v>
      </c>
      <c r="E123" s="19">
        <v>40</v>
      </c>
      <c r="F123" s="19" t="s">
        <v>39</v>
      </c>
      <c r="G123" s="19" t="s">
        <v>40</v>
      </c>
      <c r="H123" s="19" t="s">
        <v>41</v>
      </c>
      <c r="I123" s="19" t="s">
        <v>42</v>
      </c>
      <c r="J123" s="19" t="s">
        <v>43</v>
      </c>
      <c r="K123" s="19" t="s">
        <v>44</v>
      </c>
      <c r="L123" s="19"/>
      <c r="M123" s="19" t="s">
        <v>45</v>
      </c>
      <c r="N123" s="19"/>
      <c r="O123" s="19"/>
      <c r="P123" s="19" t="s">
        <v>13</v>
      </c>
      <c r="Q123" s="19" t="s">
        <v>55</v>
      </c>
      <c r="R123" s="19"/>
    </row>
    <row r="124" spans="1:18">
      <c r="A124" s="19" t="str">
        <f>E124&amp;"_"&amp;COUNTIF(E$3:$E124,E124)&amp;"_"&amp;F124</f>
        <v>49_10_Ossature_contreventement_ext</v>
      </c>
      <c r="B124" s="19">
        <v>122</v>
      </c>
      <c r="C124" s="19" t="s">
        <v>123</v>
      </c>
      <c r="D124" s="19" t="s">
        <v>7</v>
      </c>
      <c r="E124" s="19">
        <v>49</v>
      </c>
      <c r="F124" s="19" t="s">
        <v>39</v>
      </c>
      <c r="G124" s="19" t="s">
        <v>40</v>
      </c>
      <c r="H124" s="19" t="s">
        <v>41</v>
      </c>
      <c r="I124" s="19" t="s">
        <v>42</v>
      </c>
      <c r="J124" s="19" t="s">
        <v>43</v>
      </c>
      <c r="K124" s="19" t="s">
        <v>44</v>
      </c>
      <c r="L124" s="19"/>
      <c r="M124" s="19" t="s">
        <v>45</v>
      </c>
      <c r="N124" s="19"/>
      <c r="O124" s="19"/>
      <c r="P124" s="19" t="s">
        <v>13</v>
      </c>
      <c r="Q124" s="19" t="s">
        <v>56</v>
      </c>
      <c r="R124" s="19"/>
    </row>
    <row r="125" spans="1:18">
      <c r="A125" s="19" t="str">
        <f>E125&amp;"_"&amp;COUNTIF(E$3:$E125,E125)&amp;"_"&amp;F125</f>
        <v>49_11_Ossature_contreventement_ext</v>
      </c>
      <c r="B125" s="19">
        <v>123</v>
      </c>
      <c r="C125" s="19" t="s">
        <v>123</v>
      </c>
      <c r="D125" s="19" t="s">
        <v>7</v>
      </c>
      <c r="E125" s="19">
        <v>49</v>
      </c>
      <c r="F125" s="19" t="s">
        <v>39</v>
      </c>
      <c r="G125" s="19" t="s">
        <v>40</v>
      </c>
      <c r="H125" s="19" t="s">
        <v>41</v>
      </c>
      <c r="I125" s="19" t="s">
        <v>42</v>
      </c>
      <c r="J125" s="19" t="s">
        <v>43</v>
      </c>
      <c r="K125" s="19" t="s">
        <v>44</v>
      </c>
      <c r="L125" s="19"/>
      <c r="M125" s="19" t="s">
        <v>45</v>
      </c>
      <c r="N125" s="19"/>
      <c r="O125" s="19"/>
      <c r="P125" s="19" t="s">
        <v>13</v>
      </c>
      <c r="Q125" s="19" t="s">
        <v>57</v>
      </c>
      <c r="R125" s="19"/>
    </row>
    <row r="126" spans="1:18">
      <c r="A126" s="19" t="str">
        <f>E126&amp;"_"&amp;COUNTIF(E$3:$E126,E126)&amp;"_"&amp;F126</f>
        <v>38_17_Ossature_contreventement_ext</v>
      </c>
      <c r="B126" s="19">
        <v>124</v>
      </c>
      <c r="C126" s="19" t="s">
        <v>123</v>
      </c>
      <c r="D126" s="19" t="s">
        <v>7</v>
      </c>
      <c r="E126" s="5">
        <v>38</v>
      </c>
      <c r="F126" s="5" t="s">
        <v>39</v>
      </c>
      <c r="G126" s="5" t="s">
        <v>40</v>
      </c>
      <c r="H126" s="5" t="s">
        <v>41</v>
      </c>
      <c r="I126" s="5" t="s">
        <v>42</v>
      </c>
      <c r="J126" s="5" t="s">
        <v>43</v>
      </c>
      <c r="K126" s="5" t="s">
        <v>44</v>
      </c>
      <c r="L126" s="5"/>
      <c r="M126" s="5" t="s">
        <v>45</v>
      </c>
      <c r="N126" s="5"/>
      <c r="O126" s="5"/>
      <c r="P126" s="5" t="s">
        <v>14</v>
      </c>
      <c r="Q126" s="5" t="s">
        <v>51</v>
      </c>
      <c r="R126" s="5"/>
    </row>
    <row r="127" spans="1:18">
      <c r="A127" s="19" t="str">
        <f>E127&amp;"_"&amp;COUNTIF(E$3:$E127,E127)&amp;"_"&amp;F127</f>
        <v>38_18_Ossature_contreventement_ext</v>
      </c>
      <c r="B127" s="19">
        <v>125</v>
      </c>
      <c r="C127" s="19" t="s">
        <v>123</v>
      </c>
      <c r="D127" s="19" t="s">
        <v>7</v>
      </c>
      <c r="E127" s="5">
        <v>38</v>
      </c>
      <c r="F127" s="5" t="s">
        <v>39</v>
      </c>
      <c r="G127" s="5" t="s">
        <v>40</v>
      </c>
      <c r="H127" s="5" t="s">
        <v>41</v>
      </c>
      <c r="I127" s="5" t="s">
        <v>42</v>
      </c>
      <c r="J127" s="5" t="s">
        <v>43</v>
      </c>
      <c r="K127" s="5" t="s">
        <v>44</v>
      </c>
      <c r="L127" s="5"/>
      <c r="M127" s="5" t="s">
        <v>45</v>
      </c>
      <c r="N127" s="5"/>
      <c r="O127" s="5"/>
      <c r="P127" s="5" t="s">
        <v>14</v>
      </c>
      <c r="Q127" s="5" t="s">
        <v>52</v>
      </c>
      <c r="R127" s="5"/>
    </row>
    <row r="128" spans="1:18">
      <c r="A128" s="19" t="str">
        <f>E128&amp;"_"&amp;COUNTIF(E$3:$E128,E128)&amp;"_"&amp;F128</f>
        <v>39_9_Ossature_contreventement_ext</v>
      </c>
      <c r="B128" s="19">
        <v>126</v>
      </c>
      <c r="C128" s="19" t="s">
        <v>123</v>
      </c>
      <c r="D128" s="19" t="s">
        <v>7</v>
      </c>
      <c r="E128" s="5">
        <v>39</v>
      </c>
      <c r="F128" s="5" t="s">
        <v>39</v>
      </c>
      <c r="G128" s="5" t="s">
        <v>40</v>
      </c>
      <c r="H128" s="5" t="s">
        <v>41</v>
      </c>
      <c r="I128" s="5" t="s">
        <v>42</v>
      </c>
      <c r="J128" s="5" t="s">
        <v>43</v>
      </c>
      <c r="K128" s="5" t="s">
        <v>44</v>
      </c>
      <c r="L128" s="5"/>
      <c r="M128" s="5" t="s">
        <v>45</v>
      </c>
      <c r="N128" s="5"/>
      <c r="O128" s="5"/>
      <c r="P128" s="5" t="s">
        <v>14</v>
      </c>
      <c r="Q128" s="5" t="s">
        <v>53</v>
      </c>
      <c r="R128" s="5"/>
    </row>
    <row r="129" spans="1:18">
      <c r="A129" s="19" t="str">
        <f>E129&amp;"_"&amp;COUNTIF(E$3:$E129,E129)&amp;"_"&amp;F129</f>
        <v>37_18_Ossature_contreventement_ext</v>
      </c>
      <c r="B129" s="19">
        <v>127</v>
      </c>
      <c r="C129" s="19" t="s">
        <v>123</v>
      </c>
      <c r="D129" s="19" t="s">
        <v>7</v>
      </c>
      <c r="E129" s="5">
        <v>37</v>
      </c>
      <c r="F129" s="5" t="s">
        <v>39</v>
      </c>
      <c r="G129" s="5" t="s">
        <v>40</v>
      </c>
      <c r="H129" s="5" t="s">
        <v>41</v>
      </c>
      <c r="I129" s="5" t="s">
        <v>42</v>
      </c>
      <c r="J129" s="5" t="s">
        <v>43</v>
      </c>
      <c r="K129" s="5" t="s">
        <v>44</v>
      </c>
      <c r="L129" s="5"/>
      <c r="M129" s="5" t="s">
        <v>45</v>
      </c>
      <c r="N129" s="5"/>
      <c r="O129" s="5"/>
      <c r="P129" s="5" t="s">
        <v>14</v>
      </c>
      <c r="Q129" s="5" t="s">
        <v>54</v>
      </c>
      <c r="R129" s="5"/>
    </row>
    <row r="130" spans="1:18">
      <c r="A130" s="19" t="str">
        <f>E130&amp;"_"&amp;COUNTIF(E$3:$E130,E130)&amp;"_"&amp;F130</f>
        <v>41_3_Ossature_contreventement_ext</v>
      </c>
      <c r="B130" s="19">
        <v>128</v>
      </c>
      <c r="C130" s="19" t="s">
        <v>123</v>
      </c>
      <c r="D130" s="19" t="s">
        <v>7</v>
      </c>
      <c r="E130" s="5">
        <v>41</v>
      </c>
      <c r="F130" s="5" t="s">
        <v>39</v>
      </c>
      <c r="G130" s="5" t="s">
        <v>40</v>
      </c>
      <c r="H130" s="5" t="s">
        <v>41</v>
      </c>
      <c r="I130" s="5" t="s">
        <v>42</v>
      </c>
      <c r="J130" s="5" t="s">
        <v>43</v>
      </c>
      <c r="K130" s="5" t="s">
        <v>44</v>
      </c>
      <c r="L130" s="5"/>
      <c r="M130" s="5" t="s">
        <v>45</v>
      </c>
      <c r="N130" s="5"/>
      <c r="O130" s="5"/>
      <c r="P130" s="5" t="s">
        <v>14</v>
      </c>
      <c r="Q130" s="5" t="s">
        <v>55</v>
      </c>
      <c r="R130" s="5"/>
    </row>
    <row r="131" spans="1:18">
      <c r="A131" s="19" t="str">
        <f>E131&amp;"_"&amp;COUNTIF(E$3:$E131,E131)&amp;"_"&amp;F131</f>
        <v>49_12_Ossature_contreventement_ext</v>
      </c>
      <c r="B131" s="19">
        <v>129</v>
      </c>
      <c r="C131" s="19" t="s">
        <v>123</v>
      </c>
      <c r="D131" s="19" t="s">
        <v>7</v>
      </c>
      <c r="E131" s="5">
        <v>49</v>
      </c>
      <c r="F131" s="5" t="s">
        <v>39</v>
      </c>
      <c r="G131" s="5" t="s">
        <v>40</v>
      </c>
      <c r="H131" s="5" t="s">
        <v>41</v>
      </c>
      <c r="I131" s="5" t="s">
        <v>42</v>
      </c>
      <c r="J131" s="5" t="s">
        <v>43</v>
      </c>
      <c r="K131" s="5" t="s">
        <v>44</v>
      </c>
      <c r="L131" s="5"/>
      <c r="M131" s="5" t="s">
        <v>45</v>
      </c>
      <c r="N131" s="5"/>
      <c r="O131" s="5"/>
      <c r="P131" s="5" t="s">
        <v>14</v>
      </c>
      <c r="Q131" s="5" t="s">
        <v>56</v>
      </c>
      <c r="R131" s="5"/>
    </row>
    <row r="132" spans="1:18">
      <c r="A132" s="19" t="str">
        <f>E132&amp;"_"&amp;COUNTIF(E$3:$E132,E132)&amp;"_"&amp;F132</f>
        <v>49_13_Ossature_contreventement_ext</v>
      </c>
      <c r="B132" s="19">
        <v>130</v>
      </c>
      <c r="C132" s="19" t="s">
        <v>123</v>
      </c>
      <c r="D132" s="19" t="s">
        <v>7</v>
      </c>
      <c r="E132" s="5">
        <v>49</v>
      </c>
      <c r="F132" s="5" t="s">
        <v>39</v>
      </c>
      <c r="G132" s="5" t="s">
        <v>40</v>
      </c>
      <c r="H132" s="5" t="s">
        <v>41</v>
      </c>
      <c r="I132" s="5" t="s">
        <v>42</v>
      </c>
      <c r="J132" s="5" t="s">
        <v>43</v>
      </c>
      <c r="K132" s="5" t="s">
        <v>44</v>
      </c>
      <c r="L132" s="5"/>
      <c r="M132" s="5" t="s">
        <v>45</v>
      </c>
      <c r="N132" s="5"/>
      <c r="O132" s="5"/>
      <c r="P132" s="5" t="s">
        <v>14</v>
      </c>
      <c r="Q132" s="5" t="s">
        <v>57</v>
      </c>
      <c r="R132" s="5"/>
    </row>
    <row r="133" spans="1:18">
      <c r="A133" s="19" t="str">
        <f>E133&amp;"_"&amp;COUNTIF(E$3:$E133,E133)&amp;"_"&amp;F133</f>
        <v>33_6_Ossature_contreventement_ext</v>
      </c>
      <c r="B133" s="19">
        <v>131</v>
      </c>
      <c r="C133" s="19" t="s">
        <v>123</v>
      </c>
      <c r="D133" s="19" t="s">
        <v>7</v>
      </c>
      <c r="E133" s="19">
        <v>33</v>
      </c>
      <c r="F133" s="19" t="s">
        <v>39</v>
      </c>
      <c r="G133" s="19" t="s">
        <v>58</v>
      </c>
      <c r="H133" s="19" t="s">
        <v>41</v>
      </c>
      <c r="I133" s="19" t="s">
        <v>42</v>
      </c>
      <c r="J133" s="19" t="s">
        <v>43</v>
      </c>
      <c r="K133" s="19" t="s">
        <v>47</v>
      </c>
      <c r="L133" s="19"/>
      <c r="M133" s="19" t="s">
        <v>45</v>
      </c>
      <c r="N133" s="19"/>
      <c r="O133" s="19"/>
      <c r="P133" s="19" t="s">
        <v>9</v>
      </c>
      <c r="Q133" s="19" t="s">
        <v>46</v>
      </c>
      <c r="R133" s="19"/>
    </row>
    <row r="134" spans="1:18">
      <c r="A134" s="19" t="str">
        <f>E134&amp;"_"&amp;COUNTIF(E$3:$E134,E134)&amp;"_"&amp;F134</f>
        <v>35_15_Ossature_contreventement_ext</v>
      </c>
      <c r="B134" s="19">
        <v>132</v>
      </c>
      <c r="C134" s="19" t="s">
        <v>123</v>
      </c>
      <c r="D134" s="19" t="s">
        <v>7</v>
      </c>
      <c r="E134" s="19">
        <v>35</v>
      </c>
      <c r="F134" s="19" t="s">
        <v>39</v>
      </c>
      <c r="G134" s="19" t="s">
        <v>58</v>
      </c>
      <c r="H134" s="19" t="s">
        <v>41</v>
      </c>
      <c r="I134" s="19" t="s">
        <v>42</v>
      </c>
      <c r="J134" s="19" t="s">
        <v>43</v>
      </c>
      <c r="K134" s="19" t="s">
        <v>47</v>
      </c>
      <c r="L134" s="19"/>
      <c r="M134" s="19" t="s">
        <v>45</v>
      </c>
      <c r="N134" s="19"/>
      <c r="O134" s="19"/>
      <c r="P134" s="19" t="s">
        <v>10</v>
      </c>
      <c r="Q134" s="19" t="s">
        <v>46</v>
      </c>
      <c r="R134" s="19"/>
    </row>
    <row r="135" spans="1:18">
      <c r="A135" s="19" t="str">
        <f>E135&amp;"_"&amp;COUNTIF(E$3:$E135,E135)&amp;"_"&amp;F135</f>
        <v>34_12_Ossature_contreventement_ext</v>
      </c>
      <c r="B135" s="19">
        <v>133</v>
      </c>
      <c r="C135" s="19" t="s">
        <v>123</v>
      </c>
      <c r="D135" s="19" t="s">
        <v>7</v>
      </c>
      <c r="E135" s="19">
        <v>34</v>
      </c>
      <c r="F135" s="19" t="s">
        <v>39</v>
      </c>
      <c r="G135" s="19" t="s">
        <v>58</v>
      </c>
      <c r="H135" s="19" t="s">
        <v>41</v>
      </c>
      <c r="I135" s="19" t="s">
        <v>42</v>
      </c>
      <c r="J135" s="19" t="s">
        <v>43</v>
      </c>
      <c r="K135" s="19" t="s">
        <v>47</v>
      </c>
      <c r="L135" s="19"/>
      <c r="M135" s="19" t="s">
        <v>45</v>
      </c>
      <c r="N135" s="19"/>
      <c r="O135" s="19"/>
      <c r="P135" s="19" t="s">
        <v>11</v>
      </c>
      <c r="Q135" s="19" t="s">
        <v>46</v>
      </c>
      <c r="R135" s="19"/>
    </row>
    <row r="136" spans="1:18">
      <c r="A136" s="19" t="str">
        <f>E136&amp;"_"&amp;COUNTIF(E$3:$E136,E136)&amp;"_"&amp;F136</f>
        <v>35_16_Ossature_contreventement_ext</v>
      </c>
      <c r="B136" s="19">
        <v>134</v>
      </c>
      <c r="C136" s="19" t="s">
        <v>123</v>
      </c>
      <c r="D136" s="19" t="s">
        <v>7</v>
      </c>
      <c r="E136" s="19">
        <v>35</v>
      </c>
      <c r="F136" s="19" t="s">
        <v>39</v>
      </c>
      <c r="G136" s="19" t="s">
        <v>58</v>
      </c>
      <c r="H136" s="19" t="s">
        <v>41</v>
      </c>
      <c r="I136" s="19" t="s">
        <v>42</v>
      </c>
      <c r="J136" s="19" t="s">
        <v>43</v>
      </c>
      <c r="K136" s="19" t="s">
        <v>47</v>
      </c>
      <c r="L136" s="19"/>
      <c r="M136" s="19" t="s">
        <v>45</v>
      </c>
      <c r="N136" s="19"/>
      <c r="O136" s="19"/>
      <c r="P136" s="19" t="s">
        <v>12</v>
      </c>
      <c r="Q136" s="19" t="s">
        <v>46</v>
      </c>
      <c r="R136" s="19"/>
    </row>
    <row r="137" spans="1:18">
      <c r="A137" s="19" t="str">
        <f>E137&amp;"_"&amp;COUNTIF(E$3:$E137,E137)&amp;"_"&amp;F137</f>
        <v>37_19_Ossature_contreventement_ext</v>
      </c>
      <c r="B137" s="19">
        <v>135</v>
      </c>
      <c r="C137" s="19" t="s">
        <v>123</v>
      </c>
      <c r="D137" s="19" t="s">
        <v>7</v>
      </c>
      <c r="E137" s="19">
        <v>37</v>
      </c>
      <c r="F137" s="19" t="s">
        <v>39</v>
      </c>
      <c r="G137" s="19" t="s">
        <v>58</v>
      </c>
      <c r="H137" s="19" t="s">
        <v>41</v>
      </c>
      <c r="I137" s="19" t="s">
        <v>42</v>
      </c>
      <c r="J137" s="19" t="s">
        <v>43</v>
      </c>
      <c r="K137" s="19" t="s">
        <v>47</v>
      </c>
      <c r="L137" s="19"/>
      <c r="M137" s="19" t="s">
        <v>45</v>
      </c>
      <c r="N137" s="19"/>
      <c r="O137" s="19"/>
      <c r="P137" s="19" t="s">
        <v>13</v>
      </c>
      <c r="Q137" s="19" t="s">
        <v>46</v>
      </c>
      <c r="R137" s="19"/>
    </row>
    <row r="138" spans="1:18">
      <c r="A138" s="19" t="str">
        <f>E138&amp;"_"&amp;COUNTIF(E$3:$E138,E138)&amp;"_"&amp;F138</f>
        <v>38_19_Ossature_contreventement_ext</v>
      </c>
      <c r="B138" s="19">
        <v>136</v>
      </c>
      <c r="C138" s="19" t="s">
        <v>123</v>
      </c>
      <c r="D138" s="19" t="s">
        <v>7</v>
      </c>
      <c r="E138" s="19">
        <v>38</v>
      </c>
      <c r="F138" s="19" t="s">
        <v>39</v>
      </c>
      <c r="G138" s="19" t="s">
        <v>58</v>
      </c>
      <c r="H138" s="19" t="s">
        <v>41</v>
      </c>
      <c r="I138" s="19" t="s">
        <v>42</v>
      </c>
      <c r="J138" s="19" t="s">
        <v>43</v>
      </c>
      <c r="K138" s="19" t="s">
        <v>47</v>
      </c>
      <c r="L138" s="19"/>
      <c r="M138" s="19" t="s">
        <v>45</v>
      </c>
      <c r="N138" s="19"/>
      <c r="O138" s="19"/>
      <c r="P138" s="19" t="s">
        <v>14</v>
      </c>
      <c r="Q138" s="19" t="s">
        <v>46</v>
      </c>
      <c r="R138" s="19"/>
    </row>
    <row r="139" spans="1:18">
      <c r="A139" s="19" t="str">
        <f>E139&amp;"_"&amp;COUNTIF(E$3:$E139,E139)&amp;"_"&amp;F139</f>
        <v>34_13_Ossature_contreventement_ext</v>
      </c>
      <c r="B139" s="19">
        <v>137</v>
      </c>
      <c r="C139" s="19" t="s">
        <v>123</v>
      </c>
      <c r="D139" s="19" t="s">
        <v>7</v>
      </c>
      <c r="E139" s="5">
        <v>34</v>
      </c>
      <c r="F139" s="5" t="s">
        <v>39</v>
      </c>
      <c r="G139" s="5" t="s">
        <v>58</v>
      </c>
      <c r="H139" s="5" t="s">
        <v>41</v>
      </c>
      <c r="I139" s="5" t="s">
        <v>42</v>
      </c>
      <c r="J139" s="5" t="s">
        <v>43</v>
      </c>
      <c r="K139" s="5" t="s">
        <v>48</v>
      </c>
      <c r="L139" s="5"/>
      <c r="M139" s="5" t="s">
        <v>45</v>
      </c>
      <c r="N139" s="5"/>
      <c r="O139" s="5"/>
      <c r="P139" s="5" t="s">
        <v>9</v>
      </c>
      <c r="Q139" s="5" t="s">
        <v>46</v>
      </c>
      <c r="R139" s="5"/>
    </row>
    <row r="140" spans="1:18">
      <c r="A140" s="19" t="str">
        <f>E140&amp;"_"&amp;COUNTIF(E$3:$E140,E140)&amp;"_"&amp;F140</f>
        <v>36_20_Ossature_contreventement_ext</v>
      </c>
      <c r="B140" s="19">
        <v>138</v>
      </c>
      <c r="C140" s="19" t="s">
        <v>123</v>
      </c>
      <c r="D140" s="19" t="s">
        <v>7</v>
      </c>
      <c r="E140" s="5">
        <v>36</v>
      </c>
      <c r="F140" s="5" t="s">
        <v>39</v>
      </c>
      <c r="G140" s="5" t="s">
        <v>58</v>
      </c>
      <c r="H140" s="5" t="s">
        <v>41</v>
      </c>
      <c r="I140" s="5" t="s">
        <v>42</v>
      </c>
      <c r="J140" s="5" t="s">
        <v>43</v>
      </c>
      <c r="K140" s="5" t="s">
        <v>48</v>
      </c>
      <c r="L140" s="5"/>
      <c r="M140" s="5" t="s">
        <v>45</v>
      </c>
      <c r="N140" s="5"/>
      <c r="O140" s="5"/>
      <c r="P140" s="5" t="s">
        <v>10</v>
      </c>
      <c r="Q140" s="5" t="s">
        <v>46</v>
      </c>
      <c r="R140" s="5"/>
    </row>
    <row r="141" spans="1:18">
      <c r="A141" s="19" t="str">
        <f>E141&amp;"_"&amp;COUNTIF(E$3:$E141,E141)&amp;"_"&amp;F141</f>
        <v>35_17_Ossature_contreventement_ext</v>
      </c>
      <c r="B141" s="19">
        <v>139</v>
      </c>
      <c r="C141" s="19" t="s">
        <v>123</v>
      </c>
      <c r="D141" s="19" t="s">
        <v>7</v>
      </c>
      <c r="E141" s="5">
        <v>35</v>
      </c>
      <c r="F141" s="5" t="s">
        <v>39</v>
      </c>
      <c r="G141" s="5" t="s">
        <v>58</v>
      </c>
      <c r="H141" s="5" t="s">
        <v>41</v>
      </c>
      <c r="I141" s="5" t="s">
        <v>42</v>
      </c>
      <c r="J141" s="5" t="s">
        <v>43</v>
      </c>
      <c r="K141" s="5" t="s">
        <v>48</v>
      </c>
      <c r="L141" s="5"/>
      <c r="M141" s="5" t="s">
        <v>45</v>
      </c>
      <c r="N141" s="5"/>
      <c r="O141" s="5"/>
      <c r="P141" s="5" t="s">
        <v>11</v>
      </c>
      <c r="Q141" s="5" t="s">
        <v>46</v>
      </c>
      <c r="R141" s="5"/>
    </row>
    <row r="142" spans="1:18">
      <c r="A142" s="19" t="str">
        <f>E142&amp;"_"&amp;COUNTIF(E$3:$E142,E142)&amp;"_"&amp;F142</f>
        <v>36_21_Ossature_contreventement_ext</v>
      </c>
      <c r="B142" s="19">
        <v>140</v>
      </c>
      <c r="C142" s="19" t="s">
        <v>123</v>
      </c>
      <c r="D142" s="19" t="s">
        <v>7</v>
      </c>
      <c r="E142" s="5">
        <v>36</v>
      </c>
      <c r="F142" s="5" t="s">
        <v>39</v>
      </c>
      <c r="G142" s="5" t="s">
        <v>58</v>
      </c>
      <c r="H142" s="5" t="s">
        <v>41</v>
      </c>
      <c r="I142" s="5" t="s">
        <v>42</v>
      </c>
      <c r="J142" s="5" t="s">
        <v>43</v>
      </c>
      <c r="K142" s="5" t="s">
        <v>48</v>
      </c>
      <c r="L142" s="5"/>
      <c r="M142" s="5" t="s">
        <v>45</v>
      </c>
      <c r="N142" s="5"/>
      <c r="O142" s="5"/>
      <c r="P142" s="5" t="s">
        <v>12</v>
      </c>
      <c r="Q142" s="5" t="s">
        <v>46</v>
      </c>
      <c r="R142" s="5"/>
    </row>
    <row r="143" spans="1:18">
      <c r="A143" s="19" t="str">
        <f>E143&amp;"_"&amp;COUNTIF(E$3:$E143,E143)&amp;"_"&amp;F143</f>
        <v>38_20_Ossature_contreventement_ext</v>
      </c>
      <c r="B143" s="19">
        <v>141</v>
      </c>
      <c r="C143" s="19" t="s">
        <v>123</v>
      </c>
      <c r="D143" s="19" t="s">
        <v>7</v>
      </c>
      <c r="E143" s="5">
        <v>38</v>
      </c>
      <c r="F143" s="5" t="s">
        <v>39</v>
      </c>
      <c r="G143" s="5" t="s">
        <v>58</v>
      </c>
      <c r="H143" s="5" t="s">
        <v>41</v>
      </c>
      <c r="I143" s="5" t="s">
        <v>42</v>
      </c>
      <c r="J143" s="5" t="s">
        <v>43</v>
      </c>
      <c r="K143" s="5" t="s">
        <v>48</v>
      </c>
      <c r="L143" s="5"/>
      <c r="M143" s="5" t="s">
        <v>45</v>
      </c>
      <c r="N143" s="5"/>
      <c r="O143" s="5"/>
      <c r="P143" s="5" t="s">
        <v>13</v>
      </c>
      <c r="Q143" s="5" t="s">
        <v>46</v>
      </c>
      <c r="R143" s="5"/>
    </row>
    <row r="144" spans="1:18">
      <c r="A144" s="19" t="str">
        <f>E144&amp;"_"&amp;COUNTIF(E$3:$E144,E144)&amp;"_"&amp;F144</f>
        <v>39_10_Ossature_contreventement_ext</v>
      </c>
      <c r="B144" s="19">
        <v>142</v>
      </c>
      <c r="C144" s="19" t="s">
        <v>123</v>
      </c>
      <c r="D144" s="19" t="s">
        <v>7</v>
      </c>
      <c r="E144" s="5">
        <v>39</v>
      </c>
      <c r="F144" s="5" t="s">
        <v>39</v>
      </c>
      <c r="G144" s="5" t="s">
        <v>58</v>
      </c>
      <c r="H144" s="5" t="s">
        <v>41</v>
      </c>
      <c r="I144" s="5" t="s">
        <v>42</v>
      </c>
      <c r="J144" s="5" t="s">
        <v>43</v>
      </c>
      <c r="K144" s="5" t="s">
        <v>48</v>
      </c>
      <c r="L144" s="5"/>
      <c r="M144" s="5" t="s">
        <v>45</v>
      </c>
      <c r="N144" s="5"/>
      <c r="O144" s="5"/>
      <c r="P144" s="5" t="s">
        <v>14</v>
      </c>
      <c r="Q144" s="5" t="s">
        <v>46</v>
      </c>
      <c r="R144" s="5"/>
    </row>
    <row r="145" spans="1:18">
      <c r="A145" s="19" t="str">
        <f>E145&amp;"_"&amp;COUNTIF(E$3:$E145,E145)&amp;"_"&amp;F145</f>
        <v>35_18_Ossature_contreventement_ext</v>
      </c>
      <c r="B145" s="19">
        <v>143</v>
      </c>
      <c r="C145" s="19" t="s">
        <v>123</v>
      </c>
      <c r="D145" s="19" t="s">
        <v>7</v>
      </c>
      <c r="E145" s="19">
        <v>35</v>
      </c>
      <c r="F145" s="19" t="s">
        <v>39</v>
      </c>
      <c r="G145" s="19" t="s">
        <v>58</v>
      </c>
      <c r="H145" s="19" t="s">
        <v>41</v>
      </c>
      <c r="I145" s="19" t="s">
        <v>42</v>
      </c>
      <c r="J145" s="19" t="s">
        <v>43</v>
      </c>
      <c r="K145" s="19" t="s">
        <v>49</v>
      </c>
      <c r="L145" s="19"/>
      <c r="M145" s="19" t="s">
        <v>45</v>
      </c>
      <c r="N145" s="19"/>
      <c r="O145" s="19"/>
      <c r="P145" s="19" t="s">
        <v>9</v>
      </c>
      <c r="Q145" s="19" t="s">
        <v>46</v>
      </c>
      <c r="R145" s="19"/>
    </row>
    <row r="146" spans="1:18">
      <c r="A146" s="19" t="str">
        <f>E146&amp;"_"&amp;COUNTIF(E$3:$E146,E146)&amp;"_"&amp;F146</f>
        <v>37_20_Ossature_contreventement_ext</v>
      </c>
      <c r="B146" s="19">
        <v>144</v>
      </c>
      <c r="C146" s="19" t="s">
        <v>123</v>
      </c>
      <c r="D146" s="19" t="s">
        <v>7</v>
      </c>
      <c r="E146" s="19">
        <v>37</v>
      </c>
      <c r="F146" s="19" t="s">
        <v>39</v>
      </c>
      <c r="G146" s="19" t="s">
        <v>58</v>
      </c>
      <c r="H146" s="19" t="s">
        <v>41</v>
      </c>
      <c r="I146" s="19" t="s">
        <v>42</v>
      </c>
      <c r="J146" s="19" t="s">
        <v>43</v>
      </c>
      <c r="K146" s="19" t="s">
        <v>49</v>
      </c>
      <c r="L146" s="19"/>
      <c r="M146" s="19" t="s">
        <v>45</v>
      </c>
      <c r="N146" s="19"/>
      <c r="O146" s="19"/>
      <c r="P146" s="19" t="s">
        <v>10</v>
      </c>
      <c r="Q146" s="19" t="s">
        <v>46</v>
      </c>
      <c r="R146" s="19"/>
    </row>
    <row r="147" spans="1:18">
      <c r="A147" s="19" t="str">
        <f>E147&amp;"_"&amp;COUNTIF(E$3:$E147,E147)&amp;"_"&amp;F147</f>
        <v>36_22_Ossature_contreventement_ext</v>
      </c>
      <c r="B147" s="19">
        <v>145</v>
      </c>
      <c r="C147" s="19" t="s">
        <v>123</v>
      </c>
      <c r="D147" s="19" t="s">
        <v>7</v>
      </c>
      <c r="E147" s="19">
        <v>36</v>
      </c>
      <c r="F147" s="19" t="s">
        <v>39</v>
      </c>
      <c r="G147" s="19" t="s">
        <v>58</v>
      </c>
      <c r="H147" s="19" t="s">
        <v>41</v>
      </c>
      <c r="I147" s="19" t="s">
        <v>42</v>
      </c>
      <c r="J147" s="19" t="s">
        <v>43</v>
      </c>
      <c r="K147" s="19" t="s">
        <v>49</v>
      </c>
      <c r="L147" s="19"/>
      <c r="M147" s="19" t="s">
        <v>45</v>
      </c>
      <c r="N147" s="19"/>
      <c r="O147" s="19"/>
      <c r="P147" s="19" t="s">
        <v>11</v>
      </c>
      <c r="Q147" s="19" t="s">
        <v>46</v>
      </c>
      <c r="R147" s="19"/>
    </row>
    <row r="148" spans="1:18">
      <c r="A148" s="19" t="str">
        <f>E148&amp;"_"&amp;COUNTIF(E$3:$E148,E148)&amp;"_"&amp;F148</f>
        <v>37_21_Ossature_contreventement_ext</v>
      </c>
      <c r="B148" s="19">
        <v>146</v>
      </c>
      <c r="C148" s="19" t="s">
        <v>123</v>
      </c>
      <c r="D148" s="19" t="s">
        <v>7</v>
      </c>
      <c r="E148" s="19">
        <v>37</v>
      </c>
      <c r="F148" s="19" t="s">
        <v>39</v>
      </c>
      <c r="G148" s="19" t="s">
        <v>58</v>
      </c>
      <c r="H148" s="19" t="s">
        <v>41</v>
      </c>
      <c r="I148" s="19" t="s">
        <v>42</v>
      </c>
      <c r="J148" s="19" t="s">
        <v>43</v>
      </c>
      <c r="K148" s="19" t="s">
        <v>49</v>
      </c>
      <c r="L148" s="19"/>
      <c r="M148" s="19" t="s">
        <v>45</v>
      </c>
      <c r="N148" s="19"/>
      <c r="O148" s="19"/>
      <c r="P148" s="19" t="s">
        <v>12</v>
      </c>
      <c r="Q148" s="19" t="s">
        <v>46</v>
      </c>
      <c r="R148" s="19"/>
    </row>
    <row r="149" spans="1:18">
      <c r="A149" s="19" t="str">
        <f>E149&amp;"_"&amp;COUNTIF(E$3:$E149,E149)&amp;"_"&amp;F149</f>
        <v>39_11_Ossature_contreventement_ext</v>
      </c>
      <c r="B149" s="19">
        <v>147</v>
      </c>
      <c r="C149" s="19" t="s">
        <v>123</v>
      </c>
      <c r="D149" s="19" t="s">
        <v>7</v>
      </c>
      <c r="E149" s="19">
        <v>39</v>
      </c>
      <c r="F149" s="19" t="s">
        <v>39</v>
      </c>
      <c r="G149" s="19" t="s">
        <v>58</v>
      </c>
      <c r="H149" s="19" t="s">
        <v>41</v>
      </c>
      <c r="I149" s="19" t="s">
        <v>42</v>
      </c>
      <c r="J149" s="19" t="s">
        <v>43</v>
      </c>
      <c r="K149" s="19" t="s">
        <v>49</v>
      </c>
      <c r="L149" s="19"/>
      <c r="M149" s="19" t="s">
        <v>45</v>
      </c>
      <c r="N149" s="19"/>
      <c r="O149" s="19"/>
      <c r="P149" s="19" t="s">
        <v>13</v>
      </c>
      <c r="Q149" s="19" t="s">
        <v>46</v>
      </c>
      <c r="R149" s="19"/>
    </row>
    <row r="150" spans="1:18">
      <c r="A150" s="19" t="str">
        <f>E150&amp;"_"&amp;COUNTIF(E$3:$E150,E150)&amp;"_"&amp;F150</f>
        <v>40_7_Ossature_contreventement_ext</v>
      </c>
      <c r="B150" s="19">
        <v>148</v>
      </c>
      <c r="C150" s="19" t="s">
        <v>123</v>
      </c>
      <c r="D150" s="19" t="s">
        <v>7</v>
      </c>
      <c r="E150" s="19">
        <v>40</v>
      </c>
      <c r="F150" s="19" t="s">
        <v>39</v>
      </c>
      <c r="G150" s="19" t="s">
        <v>58</v>
      </c>
      <c r="H150" s="19" t="s">
        <v>41</v>
      </c>
      <c r="I150" s="19" t="s">
        <v>42</v>
      </c>
      <c r="J150" s="19" t="s">
        <v>43</v>
      </c>
      <c r="K150" s="19" t="s">
        <v>49</v>
      </c>
      <c r="L150" s="19"/>
      <c r="M150" s="19" t="s">
        <v>45</v>
      </c>
      <c r="N150" s="19"/>
      <c r="O150" s="19"/>
      <c r="P150" s="19" t="s">
        <v>14</v>
      </c>
      <c r="Q150" s="19" t="s">
        <v>46</v>
      </c>
      <c r="R150" s="19"/>
    </row>
    <row r="151" spans="1:18">
      <c r="A151" s="19" t="str">
        <f>E151&amp;"_"&amp;COUNTIF(E$3:$E151,E151)&amp;"_"&amp;F151</f>
        <v>33_7_Ossature_contreventement_ext</v>
      </c>
      <c r="B151" s="19">
        <v>149</v>
      </c>
      <c r="C151" s="19" t="s">
        <v>123</v>
      </c>
      <c r="D151" s="19" t="s">
        <v>7</v>
      </c>
      <c r="E151" s="5">
        <v>33</v>
      </c>
      <c r="F151" s="5" t="s">
        <v>39</v>
      </c>
      <c r="G151" s="5" t="s">
        <v>58</v>
      </c>
      <c r="H151" s="5" t="s">
        <v>41</v>
      </c>
      <c r="I151" s="5" t="s">
        <v>42</v>
      </c>
      <c r="J151" s="5" t="s">
        <v>43</v>
      </c>
      <c r="K151" s="5" t="s">
        <v>50</v>
      </c>
      <c r="L151" s="5"/>
      <c r="M151" s="5" t="s">
        <v>45</v>
      </c>
      <c r="N151" s="5"/>
      <c r="O151" s="5"/>
      <c r="P151" s="5" t="s">
        <v>9</v>
      </c>
      <c r="Q151" s="5" t="s">
        <v>46</v>
      </c>
      <c r="R151" s="5"/>
    </row>
    <row r="152" spans="1:18">
      <c r="A152" s="19" t="str">
        <f>E152&amp;"_"&amp;COUNTIF(E$3:$E152,E152)&amp;"_"&amp;F152</f>
        <v>35_19_Ossature_contreventement_ext</v>
      </c>
      <c r="B152" s="19">
        <v>150</v>
      </c>
      <c r="C152" s="19" t="s">
        <v>123</v>
      </c>
      <c r="D152" s="19" t="s">
        <v>7</v>
      </c>
      <c r="E152" s="5">
        <v>35</v>
      </c>
      <c r="F152" s="5" t="s">
        <v>39</v>
      </c>
      <c r="G152" s="5" t="s">
        <v>58</v>
      </c>
      <c r="H152" s="5" t="s">
        <v>41</v>
      </c>
      <c r="I152" s="5" t="s">
        <v>42</v>
      </c>
      <c r="J152" s="5" t="s">
        <v>43</v>
      </c>
      <c r="K152" s="5" t="s">
        <v>50</v>
      </c>
      <c r="L152" s="5"/>
      <c r="M152" s="5" t="s">
        <v>45</v>
      </c>
      <c r="N152" s="5"/>
      <c r="O152" s="5"/>
      <c r="P152" s="5" t="s">
        <v>10</v>
      </c>
      <c r="Q152" s="5" t="s">
        <v>46</v>
      </c>
      <c r="R152" s="5"/>
    </row>
    <row r="153" spans="1:18">
      <c r="A153" s="19" t="str">
        <f>E153&amp;"_"&amp;COUNTIF(E$3:$E153,E153)&amp;"_"&amp;F153</f>
        <v>34_14_Ossature_contreventement_ext</v>
      </c>
      <c r="B153" s="19">
        <v>151</v>
      </c>
      <c r="C153" s="19" t="s">
        <v>123</v>
      </c>
      <c r="D153" s="19" t="s">
        <v>7</v>
      </c>
      <c r="E153" s="5">
        <v>34</v>
      </c>
      <c r="F153" s="5" t="s">
        <v>39</v>
      </c>
      <c r="G153" s="5" t="s">
        <v>58</v>
      </c>
      <c r="H153" s="5" t="s">
        <v>41</v>
      </c>
      <c r="I153" s="5" t="s">
        <v>42</v>
      </c>
      <c r="J153" s="5" t="s">
        <v>43</v>
      </c>
      <c r="K153" s="5" t="s">
        <v>50</v>
      </c>
      <c r="L153" s="5"/>
      <c r="M153" s="5" t="s">
        <v>45</v>
      </c>
      <c r="N153" s="5"/>
      <c r="O153" s="5"/>
      <c r="P153" s="5" t="s">
        <v>11</v>
      </c>
      <c r="Q153" s="5" t="s">
        <v>46</v>
      </c>
      <c r="R153" s="5"/>
    </row>
    <row r="154" spans="1:18">
      <c r="A154" s="19" t="str">
        <f>E154&amp;"_"&amp;COUNTIF(E$3:$E154,E154)&amp;"_"&amp;F154</f>
        <v>35_20_Ossature_contreventement_ext</v>
      </c>
      <c r="B154" s="19">
        <v>152</v>
      </c>
      <c r="C154" s="19" t="s">
        <v>123</v>
      </c>
      <c r="D154" s="19" t="s">
        <v>7</v>
      </c>
      <c r="E154" s="5">
        <v>35</v>
      </c>
      <c r="F154" s="5" t="s">
        <v>39</v>
      </c>
      <c r="G154" s="5" t="s">
        <v>58</v>
      </c>
      <c r="H154" s="5" t="s">
        <v>41</v>
      </c>
      <c r="I154" s="5" t="s">
        <v>42</v>
      </c>
      <c r="J154" s="5" t="s">
        <v>43</v>
      </c>
      <c r="K154" s="5" t="s">
        <v>50</v>
      </c>
      <c r="L154" s="5"/>
      <c r="M154" s="5" t="s">
        <v>45</v>
      </c>
      <c r="N154" s="5"/>
      <c r="O154" s="5"/>
      <c r="P154" s="5" t="s">
        <v>12</v>
      </c>
      <c r="Q154" s="5" t="s">
        <v>46</v>
      </c>
      <c r="R154" s="5"/>
    </row>
    <row r="155" spans="1:18">
      <c r="A155" s="19" t="str">
        <f>E155&amp;"_"&amp;COUNTIF(E$3:$E155,E155)&amp;"_"&amp;F155</f>
        <v>37_22_Ossature_contreventement_ext</v>
      </c>
      <c r="B155" s="19">
        <v>153</v>
      </c>
      <c r="C155" s="19" t="s">
        <v>123</v>
      </c>
      <c r="D155" s="19" t="s">
        <v>7</v>
      </c>
      <c r="E155" s="5">
        <v>37</v>
      </c>
      <c r="F155" s="5" t="s">
        <v>39</v>
      </c>
      <c r="G155" s="5" t="s">
        <v>58</v>
      </c>
      <c r="H155" s="5" t="s">
        <v>41</v>
      </c>
      <c r="I155" s="5" t="s">
        <v>42</v>
      </c>
      <c r="J155" s="5" t="s">
        <v>43</v>
      </c>
      <c r="K155" s="5" t="s">
        <v>50</v>
      </c>
      <c r="L155" s="5"/>
      <c r="M155" s="5" t="s">
        <v>45</v>
      </c>
      <c r="N155" s="5"/>
      <c r="O155" s="5"/>
      <c r="P155" s="5" t="s">
        <v>13</v>
      </c>
      <c r="Q155" s="5" t="s">
        <v>46</v>
      </c>
      <c r="R155" s="5"/>
    </row>
    <row r="156" spans="1:18">
      <c r="A156" s="19" t="str">
        <f>E156&amp;"_"&amp;COUNTIF(E$3:$E156,E156)&amp;"_"&amp;F156</f>
        <v>38_21_Ossature_contreventement_ext</v>
      </c>
      <c r="B156" s="19">
        <v>154</v>
      </c>
      <c r="C156" s="19" t="s">
        <v>123</v>
      </c>
      <c r="D156" s="19" t="s">
        <v>7</v>
      </c>
      <c r="E156" s="5">
        <v>38</v>
      </c>
      <c r="F156" s="5" t="s">
        <v>39</v>
      </c>
      <c r="G156" s="5" t="s">
        <v>58</v>
      </c>
      <c r="H156" s="5" t="s">
        <v>41</v>
      </c>
      <c r="I156" s="5" t="s">
        <v>42</v>
      </c>
      <c r="J156" s="5" t="s">
        <v>43</v>
      </c>
      <c r="K156" s="5" t="s">
        <v>50</v>
      </c>
      <c r="L156" s="5"/>
      <c r="M156" s="5" t="s">
        <v>45</v>
      </c>
      <c r="N156" s="5"/>
      <c r="O156" s="5"/>
      <c r="P156" s="5" t="s">
        <v>14</v>
      </c>
      <c r="Q156" s="5" t="s">
        <v>46</v>
      </c>
      <c r="R156" s="5"/>
    </row>
    <row r="157" spans="1:18">
      <c r="A157" s="19" t="str">
        <f>E157&amp;"_"&amp;COUNTIF(E$3:$E157,E157)&amp;"_"&amp;F157</f>
        <v>36_23_Ossature_contreventement_ext</v>
      </c>
      <c r="B157" s="19">
        <v>155</v>
      </c>
      <c r="C157" s="19" t="s">
        <v>123</v>
      </c>
      <c r="D157" s="19" t="s">
        <v>7</v>
      </c>
      <c r="E157" s="19">
        <v>36</v>
      </c>
      <c r="F157" s="19" t="s">
        <v>39</v>
      </c>
      <c r="G157" s="19" t="s">
        <v>58</v>
      </c>
      <c r="H157" s="19" t="s">
        <v>41</v>
      </c>
      <c r="I157" s="19" t="s">
        <v>42</v>
      </c>
      <c r="J157" s="19" t="s">
        <v>43</v>
      </c>
      <c r="K157" s="19" t="s">
        <v>47</v>
      </c>
      <c r="L157" s="19"/>
      <c r="M157" s="19" t="s">
        <v>45</v>
      </c>
      <c r="N157" s="19"/>
      <c r="O157" s="19"/>
      <c r="P157" s="19" t="s">
        <v>8</v>
      </c>
      <c r="Q157" s="19" t="s">
        <v>51</v>
      </c>
      <c r="R157" s="19"/>
    </row>
    <row r="158" spans="1:18">
      <c r="A158" s="19" t="str">
        <f>E158&amp;"_"&amp;COUNTIF(E$3:$E158,E158)&amp;"_"&amp;F158</f>
        <v>36_24_Ossature_contreventement_ext</v>
      </c>
      <c r="B158" s="19">
        <v>156</v>
      </c>
      <c r="C158" s="19" t="s">
        <v>123</v>
      </c>
      <c r="D158" s="19" t="s">
        <v>7</v>
      </c>
      <c r="E158" s="19">
        <v>36</v>
      </c>
      <c r="F158" s="19" t="s">
        <v>39</v>
      </c>
      <c r="G158" s="19" t="s">
        <v>58</v>
      </c>
      <c r="H158" s="19" t="s">
        <v>41</v>
      </c>
      <c r="I158" s="19" t="s">
        <v>42</v>
      </c>
      <c r="J158" s="19" t="s">
        <v>43</v>
      </c>
      <c r="K158" s="19" t="s">
        <v>47</v>
      </c>
      <c r="L158" s="19"/>
      <c r="M158" s="19" t="s">
        <v>45</v>
      </c>
      <c r="N158" s="19"/>
      <c r="O158" s="19"/>
      <c r="P158" s="19" t="s">
        <v>8</v>
      </c>
      <c r="Q158" s="19" t="s">
        <v>52</v>
      </c>
      <c r="R158" s="19"/>
    </row>
    <row r="159" spans="1:18">
      <c r="A159" s="19" t="str">
        <f>E159&amp;"_"&amp;COUNTIF(E$3:$E159,E159)&amp;"_"&amp;F159</f>
        <v>37_23_Ossature_contreventement_ext</v>
      </c>
      <c r="B159" s="19">
        <v>157</v>
      </c>
      <c r="C159" s="19" t="s">
        <v>123</v>
      </c>
      <c r="D159" s="19" t="s">
        <v>7</v>
      </c>
      <c r="E159" s="19">
        <v>37</v>
      </c>
      <c r="F159" s="19" t="s">
        <v>39</v>
      </c>
      <c r="G159" s="19" t="s">
        <v>58</v>
      </c>
      <c r="H159" s="19" t="s">
        <v>41</v>
      </c>
      <c r="I159" s="19" t="s">
        <v>42</v>
      </c>
      <c r="J159" s="19" t="s">
        <v>43</v>
      </c>
      <c r="K159" s="19" t="s">
        <v>47</v>
      </c>
      <c r="L159" s="19"/>
      <c r="M159" s="19" t="s">
        <v>45</v>
      </c>
      <c r="N159" s="19"/>
      <c r="O159" s="19"/>
      <c r="P159" s="19" t="s">
        <v>8</v>
      </c>
      <c r="Q159" s="19" t="s">
        <v>53</v>
      </c>
      <c r="R159" s="19"/>
    </row>
    <row r="160" spans="1:18">
      <c r="A160" s="19" t="str">
        <f>E160&amp;"_"&amp;COUNTIF(E$3:$E160,E160)&amp;"_"&amp;F160</f>
        <v>35_21_Ossature_contreventement_ext</v>
      </c>
      <c r="B160" s="19">
        <v>158</v>
      </c>
      <c r="C160" s="19" t="s">
        <v>123</v>
      </c>
      <c r="D160" s="19" t="s">
        <v>7</v>
      </c>
      <c r="E160" s="19">
        <v>35</v>
      </c>
      <c r="F160" s="19" t="s">
        <v>39</v>
      </c>
      <c r="G160" s="19" t="s">
        <v>58</v>
      </c>
      <c r="H160" s="19" t="s">
        <v>41</v>
      </c>
      <c r="I160" s="19" t="s">
        <v>42</v>
      </c>
      <c r="J160" s="19" t="s">
        <v>43</v>
      </c>
      <c r="K160" s="19" t="s">
        <v>47</v>
      </c>
      <c r="L160" s="19"/>
      <c r="M160" s="19" t="s">
        <v>45</v>
      </c>
      <c r="N160" s="19"/>
      <c r="O160" s="19"/>
      <c r="P160" s="19" t="s">
        <v>8</v>
      </c>
      <c r="Q160" s="19" t="s">
        <v>54</v>
      </c>
      <c r="R160" s="19"/>
    </row>
    <row r="161" spans="1:18">
      <c r="A161" s="19" t="str">
        <f>E161&amp;"_"&amp;COUNTIF(E$3:$E161,E161)&amp;"_"&amp;F161</f>
        <v>39_12_Ossature_contreventement_ext</v>
      </c>
      <c r="B161" s="19">
        <v>159</v>
      </c>
      <c r="C161" s="19" t="s">
        <v>123</v>
      </c>
      <c r="D161" s="19" t="s">
        <v>7</v>
      </c>
      <c r="E161" s="19">
        <v>39</v>
      </c>
      <c r="F161" s="19" t="s">
        <v>39</v>
      </c>
      <c r="G161" s="19" t="s">
        <v>58</v>
      </c>
      <c r="H161" s="19" t="s">
        <v>41</v>
      </c>
      <c r="I161" s="19" t="s">
        <v>42</v>
      </c>
      <c r="J161" s="19" t="s">
        <v>43</v>
      </c>
      <c r="K161" s="19" t="s">
        <v>47</v>
      </c>
      <c r="L161" s="19"/>
      <c r="M161" s="19" t="s">
        <v>45</v>
      </c>
      <c r="N161" s="19"/>
      <c r="O161" s="19"/>
      <c r="P161" s="19" t="s">
        <v>8</v>
      </c>
      <c r="Q161" s="19" t="s">
        <v>55</v>
      </c>
      <c r="R161" s="19"/>
    </row>
    <row r="162" spans="1:18">
      <c r="A162" s="19" t="str">
        <f>E162&amp;"_"&amp;COUNTIF(E$3:$E162,E162)&amp;"_"&amp;F162</f>
        <v>48_5_Ossature_contreventement_ext</v>
      </c>
      <c r="B162" s="19">
        <v>160</v>
      </c>
      <c r="C162" s="19" t="s">
        <v>123</v>
      </c>
      <c r="D162" s="19" t="s">
        <v>7</v>
      </c>
      <c r="E162" s="19">
        <v>48</v>
      </c>
      <c r="F162" s="19" t="s">
        <v>39</v>
      </c>
      <c r="G162" s="19" t="s">
        <v>58</v>
      </c>
      <c r="H162" s="19" t="s">
        <v>41</v>
      </c>
      <c r="I162" s="19" t="s">
        <v>42</v>
      </c>
      <c r="J162" s="19" t="s">
        <v>43</v>
      </c>
      <c r="K162" s="19" t="s">
        <v>47</v>
      </c>
      <c r="L162" s="19"/>
      <c r="M162" s="19" t="s">
        <v>45</v>
      </c>
      <c r="N162" s="19"/>
      <c r="O162" s="19"/>
      <c r="P162" s="19" t="s">
        <v>8</v>
      </c>
      <c r="Q162" s="19" t="s">
        <v>56</v>
      </c>
      <c r="R162" s="19"/>
    </row>
    <row r="163" spans="1:18">
      <c r="A163" s="19" t="str">
        <f>E163&amp;"_"&amp;COUNTIF(E$3:$E163,E163)&amp;"_"&amp;F163</f>
        <v>49_14_Ossature_contreventement_ext</v>
      </c>
      <c r="B163" s="19">
        <v>161</v>
      </c>
      <c r="C163" s="19" t="s">
        <v>123</v>
      </c>
      <c r="D163" s="19" t="s">
        <v>7</v>
      </c>
      <c r="E163" s="19">
        <v>49</v>
      </c>
      <c r="F163" s="19" t="s">
        <v>39</v>
      </c>
      <c r="G163" s="19" t="s">
        <v>58</v>
      </c>
      <c r="H163" s="19" t="s">
        <v>41</v>
      </c>
      <c r="I163" s="19" t="s">
        <v>42</v>
      </c>
      <c r="J163" s="19" t="s">
        <v>43</v>
      </c>
      <c r="K163" s="19" t="s">
        <v>47</v>
      </c>
      <c r="L163" s="19"/>
      <c r="M163" s="19" t="s">
        <v>45</v>
      </c>
      <c r="N163" s="19"/>
      <c r="O163" s="19"/>
      <c r="P163" s="19" t="s">
        <v>8</v>
      </c>
      <c r="Q163" s="19" t="s">
        <v>57</v>
      </c>
      <c r="R163" s="19"/>
    </row>
    <row r="164" spans="1:18">
      <c r="A164" s="19" t="str">
        <f>E164&amp;"_"&amp;COUNTIF(E$3:$E164,E164)&amp;"_"&amp;F164</f>
        <v>37_24_Ossature_contreventement_ext</v>
      </c>
      <c r="B164" s="19">
        <v>162</v>
      </c>
      <c r="C164" s="19" t="s">
        <v>123</v>
      </c>
      <c r="D164" s="19" t="s">
        <v>7</v>
      </c>
      <c r="E164" s="5">
        <v>37</v>
      </c>
      <c r="F164" s="5" t="s">
        <v>39</v>
      </c>
      <c r="G164" s="5" t="s">
        <v>58</v>
      </c>
      <c r="H164" s="5" t="s">
        <v>41</v>
      </c>
      <c r="I164" s="5" t="s">
        <v>42</v>
      </c>
      <c r="J164" s="5" t="s">
        <v>43</v>
      </c>
      <c r="K164" s="5" t="s">
        <v>48</v>
      </c>
      <c r="L164" s="5"/>
      <c r="M164" s="5" t="s">
        <v>45</v>
      </c>
      <c r="N164" s="5"/>
      <c r="O164" s="5"/>
      <c r="P164" s="5" t="s">
        <v>8</v>
      </c>
      <c r="Q164" s="5" t="s">
        <v>51</v>
      </c>
      <c r="R164" s="5"/>
    </row>
    <row r="165" spans="1:18">
      <c r="A165" s="19" t="str">
        <f>E165&amp;"_"&amp;COUNTIF(E$3:$E165,E165)&amp;"_"&amp;F165</f>
        <v>37_25_Ossature_contreventement_ext</v>
      </c>
      <c r="B165" s="19">
        <v>163</v>
      </c>
      <c r="C165" s="19" t="s">
        <v>123</v>
      </c>
      <c r="D165" s="19" t="s">
        <v>7</v>
      </c>
      <c r="E165" s="5">
        <v>37</v>
      </c>
      <c r="F165" s="5" t="s">
        <v>39</v>
      </c>
      <c r="G165" s="5" t="s">
        <v>58</v>
      </c>
      <c r="H165" s="5" t="s">
        <v>41</v>
      </c>
      <c r="I165" s="5" t="s">
        <v>42</v>
      </c>
      <c r="J165" s="5" t="s">
        <v>43</v>
      </c>
      <c r="K165" s="5" t="s">
        <v>48</v>
      </c>
      <c r="L165" s="5"/>
      <c r="M165" s="5" t="s">
        <v>45</v>
      </c>
      <c r="N165" s="5"/>
      <c r="O165" s="5"/>
      <c r="P165" s="5" t="s">
        <v>8</v>
      </c>
      <c r="Q165" s="5" t="s">
        <v>52</v>
      </c>
      <c r="R165" s="5"/>
    </row>
    <row r="166" spans="1:18">
      <c r="A166" s="19" t="str">
        <f>E166&amp;"_"&amp;COUNTIF(E$3:$E166,E166)&amp;"_"&amp;F166</f>
        <v>38_22_Ossature_contreventement_ext</v>
      </c>
      <c r="B166" s="19">
        <v>164</v>
      </c>
      <c r="C166" s="19" t="s">
        <v>123</v>
      </c>
      <c r="D166" s="19" t="s">
        <v>7</v>
      </c>
      <c r="E166" s="5">
        <v>38</v>
      </c>
      <c r="F166" s="5" t="s">
        <v>39</v>
      </c>
      <c r="G166" s="5" t="s">
        <v>58</v>
      </c>
      <c r="H166" s="5" t="s">
        <v>41</v>
      </c>
      <c r="I166" s="5" t="s">
        <v>42</v>
      </c>
      <c r="J166" s="5" t="s">
        <v>43</v>
      </c>
      <c r="K166" s="5" t="s">
        <v>48</v>
      </c>
      <c r="L166" s="5"/>
      <c r="M166" s="5" t="s">
        <v>45</v>
      </c>
      <c r="N166" s="5"/>
      <c r="O166" s="5"/>
      <c r="P166" s="5" t="s">
        <v>8</v>
      </c>
      <c r="Q166" s="5" t="s">
        <v>53</v>
      </c>
      <c r="R166" s="5"/>
    </row>
    <row r="167" spans="1:18">
      <c r="A167" s="19" t="str">
        <f>E167&amp;"_"&amp;COUNTIF(E$3:$E167,E167)&amp;"_"&amp;F167</f>
        <v>36_25_Ossature_contreventement_ext</v>
      </c>
      <c r="B167" s="19">
        <v>165</v>
      </c>
      <c r="C167" s="19" t="s">
        <v>123</v>
      </c>
      <c r="D167" s="19" t="s">
        <v>7</v>
      </c>
      <c r="E167" s="5">
        <v>36</v>
      </c>
      <c r="F167" s="5" t="s">
        <v>39</v>
      </c>
      <c r="G167" s="5" t="s">
        <v>58</v>
      </c>
      <c r="H167" s="5" t="s">
        <v>41</v>
      </c>
      <c r="I167" s="5" t="s">
        <v>42</v>
      </c>
      <c r="J167" s="5" t="s">
        <v>43</v>
      </c>
      <c r="K167" s="5" t="s">
        <v>48</v>
      </c>
      <c r="L167" s="5"/>
      <c r="M167" s="5" t="s">
        <v>45</v>
      </c>
      <c r="N167" s="5"/>
      <c r="O167" s="5"/>
      <c r="P167" s="5" t="s">
        <v>8</v>
      </c>
      <c r="Q167" s="5" t="s">
        <v>54</v>
      </c>
      <c r="R167" s="5"/>
    </row>
    <row r="168" spans="1:18">
      <c r="A168" s="19" t="str">
        <f>E168&amp;"_"&amp;COUNTIF(E$3:$E168,E168)&amp;"_"&amp;F168</f>
        <v>40_8_Ossature_contreventement_ext</v>
      </c>
      <c r="B168" s="19">
        <v>166</v>
      </c>
      <c r="C168" s="19" t="s">
        <v>123</v>
      </c>
      <c r="D168" s="19" t="s">
        <v>7</v>
      </c>
      <c r="E168" s="5">
        <v>40</v>
      </c>
      <c r="F168" s="5" t="s">
        <v>39</v>
      </c>
      <c r="G168" s="5" t="s">
        <v>58</v>
      </c>
      <c r="H168" s="5" t="s">
        <v>41</v>
      </c>
      <c r="I168" s="5" t="s">
        <v>42</v>
      </c>
      <c r="J168" s="5" t="s">
        <v>43</v>
      </c>
      <c r="K168" s="5" t="s">
        <v>48</v>
      </c>
      <c r="L168" s="5"/>
      <c r="M168" s="5" t="s">
        <v>45</v>
      </c>
      <c r="N168" s="5"/>
      <c r="O168" s="5"/>
      <c r="P168" s="5" t="s">
        <v>8</v>
      </c>
      <c r="Q168" s="5" t="s">
        <v>55</v>
      </c>
      <c r="R168" s="5"/>
    </row>
    <row r="169" spans="1:18">
      <c r="A169" s="19" t="str">
        <f>E169&amp;"_"&amp;COUNTIF(E$3:$E169,E169)&amp;"_"&amp;F169</f>
        <v>49_15_Ossature_contreventement_ext</v>
      </c>
      <c r="B169" s="19">
        <v>167</v>
      </c>
      <c r="C169" s="19" t="s">
        <v>123</v>
      </c>
      <c r="D169" s="19" t="s">
        <v>7</v>
      </c>
      <c r="E169" s="5">
        <v>49</v>
      </c>
      <c r="F169" s="5" t="s">
        <v>39</v>
      </c>
      <c r="G169" s="5" t="s">
        <v>58</v>
      </c>
      <c r="H169" s="5" t="s">
        <v>41</v>
      </c>
      <c r="I169" s="5" t="s">
        <v>42</v>
      </c>
      <c r="J169" s="5" t="s">
        <v>43</v>
      </c>
      <c r="K169" s="5" t="s">
        <v>48</v>
      </c>
      <c r="L169" s="5"/>
      <c r="M169" s="5" t="s">
        <v>45</v>
      </c>
      <c r="N169" s="5"/>
      <c r="O169" s="5"/>
      <c r="P169" s="5" t="s">
        <v>8</v>
      </c>
      <c r="Q169" s="5" t="s">
        <v>56</v>
      </c>
      <c r="R169" s="5"/>
    </row>
    <row r="170" spans="1:18">
      <c r="A170" s="19" t="str">
        <f>E170&amp;"_"&amp;COUNTIF(E$3:$E170,E170)&amp;"_"&amp;F170</f>
        <v>49_16_Ossature_contreventement_ext</v>
      </c>
      <c r="B170" s="19">
        <v>168</v>
      </c>
      <c r="C170" s="19" t="s">
        <v>123</v>
      </c>
      <c r="D170" s="19" t="s">
        <v>7</v>
      </c>
      <c r="E170" s="5">
        <v>49</v>
      </c>
      <c r="F170" s="5" t="s">
        <v>39</v>
      </c>
      <c r="G170" s="5" t="s">
        <v>58</v>
      </c>
      <c r="H170" s="5" t="s">
        <v>41</v>
      </c>
      <c r="I170" s="5" t="s">
        <v>42</v>
      </c>
      <c r="J170" s="5" t="s">
        <v>43</v>
      </c>
      <c r="K170" s="5" t="s">
        <v>48</v>
      </c>
      <c r="L170" s="5"/>
      <c r="M170" s="5" t="s">
        <v>45</v>
      </c>
      <c r="N170" s="5"/>
      <c r="O170" s="5"/>
      <c r="P170" s="5" t="s">
        <v>8</v>
      </c>
      <c r="Q170" s="5" t="s">
        <v>57</v>
      </c>
      <c r="R170" s="5"/>
    </row>
    <row r="171" spans="1:18">
      <c r="A171" s="19" t="str">
        <f>E171&amp;"_"&amp;COUNTIF(E$3:$E171,E171)&amp;"_"&amp;F171</f>
        <v>38_23_Ossature_contreventement_ext</v>
      </c>
      <c r="B171" s="19">
        <v>169</v>
      </c>
      <c r="C171" s="19" t="s">
        <v>123</v>
      </c>
      <c r="D171" s="19" t="s">
        <v>7</v>
      </c>
      <c r="E171" s="19">
        <v>38</v>
      </c>
      <c r="F171" s="19" t="s">
        <v>39</v>
      </c>
      <c r="G171" s="19" t="s">
        <v>58</v>
      </c>
      <c r="H171" s="19" t="s">
        <v>41</v>
      </c>
      <c r="I171" s="19" t="s">
        <v>42</v>
      </c>
      <c r="J171" s="19" t="s">
        <v>43</v>
      </c>
      <c r="K171" s="19" t="s">
        <v>49</v>
      </c>
      <c r="L171" s="19"/>
      <c r="M171" s="19" t="s">
        <v>45</v>
      </c>
      <c r="N171" s="19"/>
      <c r="O171" s="19"/>
      <c r="P171" s="19" t="s">
        <v>8</v>
      </c>
      <c r="Q171" s="19" t="s">
        <v>51</v>
      </c>
      <c r="R171" s="19"/>
    </row>
    <row r="172" spans="1:18">
      <c r="A172" s="19" t="str">
        <f>E172&amp;"_"&amp;COUNTIF(E$3:$E172,E172)&amp;"_"&amp;F172</f>
        <v>38_24_Ossature_contreventement_ext</v>
      </c>
      <c r="B172" s="19">
        <v>170</v>
      </c>
      <c r="C172" s="19" t="s">
        <v>123</v>
      </c>
      <c r="D172" s="19" t="s">
        <v>7</v>
      </c>
      <c r="E172" s="19">
        <v>38</v>
      </c>
      <c r="F172" s="19" t="s">
        <v>39</v>
      </c>
      <c r="G172" s="19" t="s">
        <v>58</v>
      </c>
      <c r="H172" s="19" t="s">
        <v>41</v>
      </c>
      <c r="I172" s="19" t="s">
        <v>42</v>
      </c>
      <c r="J172" s="19" t="s">
        <v>43</v>
      </c>
      <c r="K172" s="19" t="s">
        <v>49</v>
      </c>
      <c r="L172" s="19"/>
      <c r="M172" s="19" t="s">
        <v>45</v>
      </c>
      <c r="N172" s="19"/>
      <c r="O172" s="19"/>
      <c r="P172" s="19" t="s">
        <v>8</v>
      </c>
      <c r="Q172" s="19" t="s">
        <v>52</v>
      </c>
      <c r="R172" s="19"/>
    </row>
    <row r="173" spans="1:18">
      <c r="A173" s="19" t="str">
        <f>E173&amp;"_"&amp;COUNTIF(E$3:$E173,E173)&amp;"_"&amp;F173</f>
        <v>39_13_Ossature_contreventement_ext</v>
      </c>
      <c r="B173" s="19">
        <v>171</v>
      </c>
      <c r="C173" s="19" t="s">
        <v>123</v>
      </c>
      <c r="D173" s="19" t="s">
        <v>7</v>
      </c>
      <c r="E173" s="19">
        <v>39</v>
      </c>
      <c r="F173" s="19" t="s">
        <v>39</v>
      </c>
      <c r="G173" s="19" t="s">
        <v>58</v>
      </c>
      <c r="H173" s="19" t="s">
        <v>41</v>
      </c>
      <c r="I173" s="19" t="s">
        <v>42</v>
      </c>
      <c r="J173" s="19" t="s">
        <v>43</v>
      </c>
      <c r="K173" s="19" t="s">
        <v>49</v>
      </c>
      <c r="L173" s="19"/>
      <c r="M173" s="19" t="s">
        <v>45</v>
      </c>
      <c r="N173" s="19"/>
      <c r="O173" s="19"/>
      <c r="P173" s="19" t="s">
        <v>8</v>
      </c>
      <c r="Q173" s="19" t="s">
        <v>53</v>
      </c>
      <c r="R173" s="19"/>
    </row>
    <row r="174" spans="1:18">
      <c r="A174" s="19" t="str">
        <f>E174&amp;"_"&amp;COUNTIF(E$3:$E174,E174)&amp;"_"&amp;F174</f>
        <v>37_26_Ossature_contreventement_ext</v>
      </c>
      <c r="B174" s="19">
        <v>172</v>
      </c>
      <c r="C174" s="19" t="s">
        <v>123</v>
      </c>
      <c r="D174" s="19" t="s">
        <v>7</v>
      </c>
      <c r="E174" s="19">
        <v>37</v>
      </c>
      <c r="F174" s="19" t="s">
        <v>39</v>
      </c>
      <c r="G174" s="19" t="s">
        <v>58</v>
      </c>
      <c r="H174" s="19" t="s">
        <v>41</v>
      </c>
      <c r="I174" s="19" t="s">
        <v>42</v>
      </c>
      <c r="J174" s="19" t="s">
        <v>43</v>
      </c>
      <c r="K174" s="19" t="s">
        <v>49</v>
      </c>
      <c r="L174" s="19"/>
      <c r="M174" s="19" t="s">
        <v>45</v>
      </c>
      <c r="N174" s="19"/>
      <c r="O174" s="19"/>
      <c r="P174" s="19" t="s">
        <v>8</v>
      </c>
      <c r="Q174" s="19" t="s">
        <v>54</v>
      </c>
      <c r="R174" s="19"/>
    </row>
    <row r="175" spans="1:18">
      <c r="A175" s="19" t="str">
        <f>E175&amp;"_"&amp;COUNTIF(E$3:$E175,E175)&amp;"_"&amp;F175</f>
        <v>41_4_Ossature_contreventement_ext</v>
      </c>
      <c r="B175" s="19">
        <v>173</v>
      </c>
      <c r="C175" s="19" t="s">
        <v>123</v>
      </c>
      <c r="D175" s="19" t="s">
        <v>7</v>
      </c>
      <c r="E175" s="19">
        <v>41</v>
      </c>
      <c r="F175" s="19" t="s">
        <v>39</v>
      </c>
      <c r="G175" s="19" t="s">
        <v>58</v>
      </c>
      <c r="H175" s="19" t="s">
        <v>41</v>
      </c>
      <c r="I175" s="19" t="s">
        <v>42</v>
      </c>
      <c r="J175" s="19" t="s">
        <v>43</v>
      </c>
      <c r="K175" s="19" t="s">
        <v>49</v>
      </c>
      <c r="L175" s="19"/>
      <c r="M175" s="19" t="s">
        <v>45</v>
      </c>
      <c r="N175" s="19"/>
      <c r="O175" s="19"/>
      <c r="P175" s="19" t="s">
        <v>8</v>
      </c>
      <c r="Q175" s="19" t="s">
        <v>55</v>
      </c>
      <c r="R175" s="19"/>
    </row>
    <row r="176" spans="1:18">
      <c r="A176" s="19" t="str">
        <f>E176&amp;"_"&amp;COUNTIF(E$3:$E176,E176)&amp;"_"&amp;F176</f>
        <v>49_17_Ossature_contreventement_ext</v>
      </c>
      <c r="B176" s="19">
        <v>174</v>
      </c>
      <c r="C176" s="19" t="s">
        <v>123</v>
      </c>
      <c r="D176" s="19" t="s">
        <v>7</v>
      </c>
      <c r="E176" s="19">
        <v>49</v>
      </c>
      <c r="F176" s="19" t="s">
        <v>39</v>
      </c>
      <c r="G176" s="19" t="s">
        <v>58</v>
      </c>
      <c r="H176" s="19" t="s">
        <v>41</v>
      </c>
      <c r="I176" s="19" t="s">
        <v>42</v>
      </c>
      <c r="J176" s="19" t="s">
        <v>43</v>
      </c>
      <c r="K176" s="19" t="s">
        <v>49</v>
      </c>
      <c r="L176" s="19"/>
      <c r="M176" s="19" t="s">
        <v>45</v>
      </c>
      <c r="N176" s="19"/>
      <c r="O176" s="19"/>
      <c r="P176" s="19" t="s">
        <v>8</v>
      </c>
      <c r="Q176" s="19" t="s">
        <v>56</v>
      </c>
      <c r="R176" s="19"/>
    </row>
    <row r="177" spans="1:18">
      <c r="A177" s="19" t="str">
        <f>E177&amp;"_"&amp;COUNTIF(E$3:$E177,E177)&amp;"_"&amp;F177</f>
        <v>49_18_Ossature_contreventement_ext</v>
      </c>
      <c r="B177" s="19">
        <v>175</v>
      </c>
      <c r="C177" s="19" t="s">
        <v>123</v>
      </c>
      <c r="D177" s="19" t="s">
        <v>7</v>
      </c>
      <c r="E177" s="19">
        <v>49</v>
      </c>
      <c r="F177" s="19" t="s">
        <v>39</v>
      </c>
      <c r="G177" s="19" t="s">
        <v>58</v>
      </c>
      <c r="H177" s="19" t="s">
        <v>41</v>
      </c>
      <c r="I177" s="19" t="s">
        <v>42</v>
      </c>
      <c r="J177" s="19" t="s">
        <v>43</v>
      </c>
      <c r="K177" s="19" t="s">
        <v>49</v>
      </c>
      <c r="L177" s="19"/>
      <c r="M177" s="19" t="s">
        <v>45</v>
      </c>
      <c r="N177" s="19"/>
      <c r="O177" s="19"/>
      <c r="P177" s="19" t="s">
        <v>8</v>
      </c>
      <c r="Q177" s="19" t="s">
        <v>57</v>
      </c>
      <c r="R177" s="19"/>
    </row>
    <row r="178" spans="1:18">
      <c r="A178" s="19" t="str">
        <f>E178&amp;"_"&amp;COUNTIF(E$3:$E178,E178)&amp;"_"&amp;F178</f>
        <v>36_26_Ossature_contreventement_ext</v>
      </c>
      <c r="B178" s="19">
        <v>176</v>
      </c>
      <c r="C178" s="19" t="s">
        <v>123</v>
      </c>
      <c r="D178" s="19" t="s">
        <v>7</v>
      </c>
      <c r="E178" s="5">
        <v>36</v>
      </c>
      <c r="F178" s="5" t="s">
        <v>39</v>
      </c>
      <c r="G178" s="5" t="s">
        <v>58</v>
      </c>
      <c r="H178" s="5" t="s">
        <v>41</v>
      </c>
      <c r="I178" s="5" t="s">
        <v>42</v>
      </c>
      <c r="J178" s="5" t="s">
        <v>43</v>
      </c>
      <c r="K178" s="5" t="s">
        <v>50</v>
      </c>
      <c r="L178" s="5"/>
      <c r="M178" s="5" t="s">
        <v>45</v>
      </c>
      <c r="N178" s="5"/>
      <c r="O178" s="5"/>
      <c r="P178" s="5" t="s">
        <v>8</v>
      </c>
      <c r="Q178" s="5" t="s">
        <v>51</v>
      </c>
      <c r="R178" s="5"/>
    </row>
    <row r="179" spans="1:18">
      <c r="A179" s="19" t="str">
        <f>E179&amp;"_"&amp;COUNTIF(E$3:$E179,E179)&amp;"_"&amp;F179</f>
        <v>36_27_Ossature_contreventement_ext</v>
      </c>
      <c r="B179" s="19">
        <v>177</v>
      </c>
      <c r="C179" s="19" t="s">
        <v>123</v>
      </c>
      <c r="D179" s="19" t="s">
        <v>7</v>
      </c>
      <c r="E179" s="5">
        <v>36</v>
      </c>
      <c r="F179" s="5" t="s">
        <v>39</v>
      </c>
      <c r="G179" s="5" t="s">
        <v>58</v>
      </c>
      <c r="H179" s="5" t="s">
        <v>41</v>
      </c>
      <c r="I179" s="5" t="s">
        <v>42</v>
      </c>
      <c r="J179" s="5" t="s">
        <v>43</v>
      </c>
      <c r="K179" s="5" t="s">
        <v>50</v>
      </c>
      <c r="L179" s="5"/>
      <c r="M179" s="5" t="s">
        <v>45</v>
      </c>
      <c r="N179" s="5"/>
      <c r="O179" s="5"/>
      <c r="P179" s="5" t="s">
        <v>8</v>
      </c>
      <c r="Q179" s="5" t="s">
        <v>52</v>
      </c>
      <c r="R179" s="5"/>
    </row>
    <row r="180" spans="1:18">
      <c r="A180" s="19" t="str">
        <f>E180&amp;"_"&amp;COUNTIF(E$3:$E180,E180)&amp;"_"&amp;F180</f>
        <v>37_27_Ossature_contreventement_ext</v>
      </c>
      <c r="B180" s="19">
        <v>178</v>
      </c>
      <c r="C180" s="19" t="s">
        <v>123</v>
      </c>
      <c r="D180" s="19" t="s">
        <v>7</v>
      </c>
      <c r="E180" s="5">
        <v>37</v>
      </c>
      <c r="F180" s="5" t="s">
        <v>39</v>
      </c>
      <c r="G180" s="5" t="s">
        <v>58</v>
      </c>
      <c r="H180" s="5" t="s">
        <v>41</v>
      </c>
      <c r="I180" s="5" t="s">
        <v>42</v>
      </c>
      <c r="J180" s="5" t="s">
        <v>43</v>
      </c>
      <c r="K180" s="5" t="s">
        <v>50</v>
      </c>
      <c r="L180" s="5"/>
      <c r="M180" s="5" t="s">
        <v>45</v>
      </c>
      <c r="N180" s="5"/>
      <c r="O180" s="5"/>
      <c r="P180" s="5" t="s">
        <v>8</v>
      </c>
      <c r="Q180" s="5" t="s">
        <v>53</v>
      </c>
      <c r="R180" s="5"/>
    </row>
    <row r="181" spans="1:18">
      <c r="A181" s="19" t="str">
        <f>E181&amp;"_"&amp;COUNTIF(E$3:$E181,E181)&amp;"_"&amp;F181</f>
        <v>35_22_Ossature_contreventement_ext</v>
      </c>
      <c r="B181" s="19">
        <v>179</v>
      </c>
      <c r="C181" s="19" t="s">
        <v>123</v>
      </c>
      <c r="D181" s="19" t="s">
        <v>7</v>
      </c>
      <c r="E181" s="5">
        <v>35</v>
      </c>
      <c r="F181" s="5" t="s">
        <v>39</v>
      </c>
      <c r="G181" s="5" t="s">
        <v>58</v>
      </c>
      <c r="H181" s="5" t="s">
        <v>41</v>
      </c>
      <c r="I181" s="5" t="s">
        <v>42</v>
      </c>
      <c r="J181" s="5" t="s">
        <v>43</v>
      </c>
      <c r="K181" s="5" t="s">
        <v>50</v>
      </c>
      <c r="L181" s="5"/>
      <c r="M181" s="5" t="s">
        <v>45</v>
      </c>
      <c r="N181" s="5"/>
      <c r="O181" s="5"/>
      <c r="P181" s="5" t="s">
        <v>8</v>
      </c>
      <c r="Q181" s="5" t="s">
        <v>54</v>
      </c>
      <c r="R181" s="5"/>
    </row>
    <row r="182" spans="1:18">
      <c r="A182" s="19" t="str">
        <f>E182&amp;"_"&amp;COUNTIF(E$3:$E182,E182)&amp;"_"&amp;F182</f>
        <v>39_14_Ossature_contreventement_ext</v>
      </c>
      <c r="B182" s="19">
        <v>180</v>
      </c>
      <c r="C182" s="19" t="s">
        <v>123</v>
      </c>
      <c r="D182" s="19" t="s">
        <v>7</v>
      </c>
      <c r="E182" s="5">
        <v>39</v>
      </c>
      <c r="F182" s="5" t="s">
        <v>39</v>
      </c>
      <c r="G182" s="5" t="s">
        <v>58</v>
      </c>
      <c r="H182" s="5" t="s">
        <v>41</v>
      </c>
      <c r="I182" s="5" t="s">
        <v>42</v>
      </c>
      <c r="J182" s="5" t="s">
        <v>43</v>
      </c>
      <c r="K182" s="5" t="s">
        <v>50</v>
      </c>
      <c r="L182" s="5"/>
      <c r="M182" s="5" t="s">
        <v>45</v>
      </c>
      <c r="N182" s="5"/>
      <c r="O182" s="5"/>
      <c r="P182" s="5" t="s">
        <v>8</v>
      </c>
      <c r="Q182" s="5" t="s">
        <v>55</v>
      </c>
      <c r="R182" s="5"/>
    </row>
    <row r="183" spans="1:18">
      <c r="A183" s="19" t="str">
        <f>E183&amp;"_"&amp;COUNTIF(E$3:$E183,E183)&amp;"_"&amp;F183</f>
        <v>48_6_Ossature_contreventement_ext</v>
      </c>
      <c r="B183" s="19">
        <v>181</v>
      </c>
      <c r="C183" s="19" t="s">
        <v>123</v>
      </c>
      <c r="D183" s="19" t="s">
        <v>7</v>
      </c>
      <c r="E183" s="5">
        <v>48</v>
      </c>
      <c r="F183" s="5" t="s">
        <v>39</v>
      </c>
      <c r="G183" s="5" t="s">
        <v>58</v>
      </c>
      <c r="H183" s="5" t="s">
        <v>41</v>
      </c>
      <c r="I183" s="5" t="s">
        <v>42</v>
      </c>
      <c r="J183" s="5" t="s">
        <v>43</v>
      </c>
      <c r="K183" s="5" t="s">
        <v>50</v>
      </c>
      <c r="L183" s="5"/>
      <c r="M183" s="5" t="s">
        <v>45</v>
      </c>
      <c r="N183" s="5"/>
      <c r="O183" s="5"/>
      <c r="P183" s="5" t="s">
        <v>8</v>
      </c>
      <c r="Q183" s="5" t="s">
        <v>56</v>
      </c>
      <c r="R183" s="5"/>
    </row>
    <row r="184" spans="1:18">
      <c r="A184" s="19" t="str">
        <f>E184&amp;"_"&amp;COUNTIF(E$3:$E184,E184)&amp;"_"&amp;F184</f>
        <v>49_19_Ossature_contreventement_ext</v>
      </c>
      <c r="B184" s="19">
        <v>182</v>
      </c>
      <c r="C184" s="19" t="s">
        <v>123</v>
      </c>
      <c r="D184" s="19" t="s">
        <v>7</v>
      </c>
      <c r="E184" s="5">
        <v>49</v>
      </c>
      <c r="F184" s="5" t="s">
        <v>39</v>
      </c>
      <c r="G184" s="5" t="s">
        <v>58</v>
      </c>
      <c r="H184" s="5" t="s">
        <v>41</v>
      </c>
      <c r="I184" s="5" t="s">
        <v>42</v>
      </c>
      <c r="J184" s="5" t="s">
        <v>43</v>
      </c>
      <c r="K184" s="5" t="s">
        <v>50</v>
      </c>
      <c r="L184" s="5"/>
      <c r="M184" s="5" t="s">
        <v>45</v>
      </c>
      <c r="N184" s="5"/>
      <c r="O184" s="5"/>
      <c r="P184" s="5" t="s">
        <v>8</v>
      </c>
      <c r="Q184" s="5" t="s">
        <v>57</v>
      </c>
      <c r="R184" s="5"/>
    </row>
    <row r="185" spans="1:18">
      <c r="A185" s="19" t="str">
        <f>E185&amp;"_"&amp;COUNTIF(E$3:$E185,E185)&amp;"_"&amp;F185</f>
        <v>34_15_Ossature_contreventement_ext</v>
      </c>
      <c r="B185" s="19">
        <v>183</v>
      </c>
      <c r="C185" s="19" t="s">
        <v>123</v>
      </c>
      <c r="D185" s="19" t="s">
        <v>7</v>
      </c>
      <c r="E185" s="19">
        <v>34</v>
      </c>
      <c r="F185" s="19" t="s">
        <v>39</v>
      </c>
      <c r="G185" s="19" t="s">
        <v>40</v>
      </c>
      <c r="H185" s="19" t="s">
        <v>41</v>
      </c>
      <c r="I185" s="19" t="s">
        <v>42</v>
      </c>
      <c r="J185" s="19" t="s">
        <v>43</v>
      </c>
      <c r="K185" s="19" t="s">
        <v>47</v>
      </c>
      <c r="L185" s="19"/>
      <c r="M185" s="19" t="s">
        <v>45</v>
      </c>
      <c r="N185" s="19"/>
      <c r="O185" s="19"/>
      <c r="P185" s="19" t="s">
        <v>9</v>
      </c>
      <c r="Q185" s="19" t="s">
        <v>51</v>
      </c>
      <c r="R185" s="19"/>
    </row>
    <row r="186" spans="1:18">
      <c r="A186" s="19" t="str">
        <f>E186&amp;"_"&amp;COUNTIF(E$3:$E186,E186)&amp;"_"&amp;F186</f>
        <v>34_16_Ossature_contreventement_ext</v>
      </c>
      <c r="B186" s="19">
        <v>184</v>
      </c>
      <c r="C186" s="19" t="s">
        <v>123</v>
      </c>
      <c r="D186" s="19" t="s">
        <v>7</v>
      </c>
      <c r="E186" s="19">
        <v>34</v>
      </c>
      <c r="F186" s="19" t="s">
        <v>39</v>
      </c>
      <c r="G186" s="19" t="s">
        <v>40</v>
      </c>
      <c r="H186" s="19" t="s">
        <v>41</v>
      </c>
      <c r="I186" s="19" t="s">
        <v>42</v>
      </c>
      <c r="J186" s="19" t="s">
        <v>43</v>
      </c>
      <c r="K186" s="19" t="s">
        <v>47</v>
      </c>
      <c r="L186" s="19"/>
      <c r="M186" s="19" t="s">
        <v>45</v>
      </c>
      <c r="N186" s="19"/>
      <c r="O186" s="19"/>
      <c r="P186" s="19" t="s">
        <v>9</v>
      </c>
      <c r="Q186" s="19" t="s">
        <v>52</v>
      </c>
      <c r="R186" s="19"/>
    </row>
    <row r="187" spans="1:18">
      <c r="A187" s="19" t="str">
        <f>E187&amp;"_"&amp;COUNTIF(E$3:$E187,E187)&amp;"_"&amp;F187</f>
        <v>35_23_Ossature_contreventement_ext</v>
      </c>
      <c r="B187" s="19">
        <v>185</v>
      </c>
      <c r="C187" s="19" t="s">
        <v>123</v>
      </c>
      <c r="D187" s="19" t="s">
        <v>7</v>
      </c>
      <c r="E187" s="19">
        <v>35</v>
      </c>
      <c r="F187" s="19" t="s">
        <v>39</v>
      </c>
      <c r="G187" s="19" t="s">
        <v>40</v>
      </c>
      <c r="H187" s="19" t="s">
        <v>41</v>
      </c>
      <c r="I187" s="19" t="s">
        <v>42</v>
      </c>
      <c r="J187" s="19" t="s">
        <v>43</v>
      </c>
      <c r="K187" s="19" t="s">
        <v>47</v>
      </c>
      <c r="L187" s="19"/>
      <c r="M187" s="19" t="s">
        <v>45</v>
      </c>
      <c r="N187" s="19"/>
      <c r="O187" s="19"/>
      <c r="P187" s="19" t="s">
        <v>9</v>
      </c>
      <c r="Q187" s="19" t="s">
        <v>53</v>
      </c>
      <c r="R187" s="19"/>
    </row>
    <row r="188" spans="1:18">
      <c r="A188" s="19" t="str">
        <f>E188&amp;"_"&amp;COUNTIF(E$3:$E188,E188)&amp;"_"&amp;F188</f>
        <v>33_8_Ossature_contreventement_ext</v>
      </c>
      <c r="B188" s="19">
        <v>186</v>
      </c>
      <c r="C188" s="19" t="s">
        <v>123</v>
      </c>
      <c r="D188" s="19" t="s">
        <v>7</v>
      </c>
      <c r="E188" s="19">
        <v>33</v>
      </c>
      <c r="F188" s="19" t="s">
        <v>39</v>
      </c>
      <c r="G188" s="19" t="s">
        <v>40</v>
      </c>
      <c r="H188" s="19" t="s">
        <v>41</v>
      </c>
      <c r="I188" s="19" t="s">
        <v>42</v>
      </c>
      <c r="J188" s="19" t="s">
        <v>43</v>
      </c>
      <c r="K188" s="19" t="s">
        <v>47</v>
      </c>
      <c r="L188" s="19"/>
      <c r="M188" s="19" t="s">
        <v>45</v>
      </c>
      <c r="N188" s="19"/>
      <c r="O188" s="19"/>
      <c r="P188" s="19" t="s">
        <v>9</v>
      </c>
      <c r="Q188" s="19" t="s">
        <v>54</v>
      </c>
      <c r="R188" s="19"/>
    </row>
    <row r="189" spans="1:18">
      <c r="A189" s="19" t="str">
        <f>E189&amp;"_"&amp;COUNTIF(E$3:$E189,E189)&amp;"_"&amp;F189</f>
        <v>37_28_Ossature_contreventement_ext</v>
      </c>
      <c r="B189" s="19">
        <v>187</v>
      </c>
      <c r="C189" s="19" t="s">
        <v>123</v>
      </c>
      <c r="D189" s="19" t="s">
        <v>7</v>
      </c>
      <c r="E189" s="19">
        <v>37</v>
      </c>
      <c r="F189" s="19" t="s">
        <v>39</v>
      </c>
      <c r="G189" s="19" t="s">
        <v>40</v>
      </c>
      <c r="H189" s="19" t="s">
        <v>41</v>
      </c>
      <c r="I189" s="19" t="s">
        <v>42</v>
      </c>
      <c r="J189" s="19" t="s">
        <v>43</v>
      </c>
      <c r="K189" s="19" t="s">
        <v>47</v>
      </c>
      <c r="L189" s="19"/>
      <c r="M189" s="19" t="s">
        <v>45</v>
      </c>
      <c r="N189" s="19"/>
      <c r="O189" s="19"/>
      <c r="P189" s="19" t="s">
        <v>9</v>
      </c>
      <c r="Q189" s="19" t="s">
        <v>55</v>
      </c>
      <c r="R189" s="19"/>
    </row>
    <row r="190" spans="1:18">
      <c r="A190" s="19" t="str">
        <f>E190&amp;"_"&amp;COUNTIF(E$3:$E190,E190)&amp;"_"&amp;F190</f>
        <v>46_3_Ossature_contreventement_ext</v>
      </c>
      <c r="B190" s="19">
        <v>188</v>
      </c>
      <c r="C190" s="19" t="s">
        <v>123</v>
      </c>
      <c r="D190" s="19" t="s">
        <v>7</v>
      </c>
      <c r="E190" s="19">
        <v>46</v>
      </c>
      <c r="F190" s="19" t="s">
        <v>39</v>
      </c>
      <c r="G190" s="19" t="s">
        <v>40</v>
      </c>
      <c r="H190" s="19" t="s">
        <v>41</v>
      </c>
      <c r="I190" s="19" t="s">
        <v>42</v>
      </c>
      <c r="J190" s="19" t="s">
        <v>43</v>
      </c>
      <c r="K190" s="19" t="s">
        <v>47</v>
      </c>
      <c r="L190" s="19"/>
      <c r="M190" s="19" t="s">
        <v>45</v>
      </c>
      <c r="N190" s="19"/>
      <c r="O190" s="19"/>
      <c r="P190" s="19" t="s">
        <v>9</v>
      </c>
      <c r="Q190" s="19" t="s">
        <v>56</v>
      </c>
      <c r="R190" s="19"/>
    </row>
    <row r="191" spans="1:18">
      <c r="A191" s="19" t="str">
        <f>E191&amp;"_"&amp;COUNTIF(E$3:$E191,E191)&amp;"_"&amp;F191</f>
        <v>47_5_Ossature_contreventement_ext</v>
      </c>
      <c r="B191" s="19">
        <v>189</v>
      </c>
      <c r="C191" s="19" t="s">
        <v>123</v>
      </c>
      <c r="D191" s="19" t="s">
        <v>7</v>
      </c>
      <c r="E191" s="19">
        <v>47</v>
      </c>
      <c r="F191" s="19" t="s">
        <v>39</v>
      </c>
      <c r="G191" s="19" t="s">
        <v>40</v>
      </c>
      <c r="H191" s="19" t="s">
        <v>41</v>
      </c>
      <c r="I191" s="19" t="s">
        <v>42</v>
      </c>
      <c r="J191" s="19" t="s">
        <v>43</v>
      </c>
      <c r="K191" s="19" t="s">
        <v>47</v>
      </c>
      <c r="L191" s="19"/>
      <c r="M191" s="19" t="s">
        <v>45</v>
      </c>
      <c r="N191" s="19"/>
      <c r="O191" s="19"/>
      <c r="P191" s="19" t="s">
        <v>9</v>
      </c>
      <c r="Q191" s="19" t="s">
        <v>57</v>
      </c>
      <c r="R191" s="19"/>
    </row>
    <row r="192" spans="1:18">
      <c r="A192" s="19" t="str">
        <f>E192&amp;"_"&amp;COUNTIF(E$3:$E192,E192)&amp;"_"&amp;F192</f>
        <v>36_28_Ossature_contreventement_ext</v>
      </c>
      <c r="B192" s="19">
        <v>190</v>
      </c>
      <c r="C192" s="19" t="s">
        <v>123</v>
      </c>
      <c r="D192" s="19" t="s">
        <v>7</v>
      </c>
      <c r="E192" s="5">
        <v>36</v>
      </c>
      <c r="F192" s="5" t="s">
        <v>39</v>
      </c>
      <c r="G192" s="5" t="s">
        <v>40</v>
      </c>
      <c r="H192" s="5" t="s">
        <v>41</v>
      </c>
      <c r="I192" s="5" t="s">
        <v>42</v>
      </c>
      <c r="J192" s="5" t="s">
        <v>43</v>
      </c>
      <c r="K192" s="5" t="s">
        <v>47</v>
      </c>
      <c r="L192" s="5"/>
      <c r="M192" s="5" t="s">
        <v>45</v>
      </c>
      <c r="N192" s="5"/>
      <c r="O192" s="5"/>
      <c r="P192" s="5" t="s">
        <v>10</v>
      </c>
      <c r="Q192" s="5" t="s">
        <v>51</v>
      </c>
      <c r="R192" s="5"/>
    </row>
    <row r="193" spans="1:18">
      <c r="A193" s="19" t="str">
        <f>E193&amp;"_"&amp;COUNTIF(E$3:$E193,E193)&amp;"_"&amp;F193</f>
        <v>36_29_Ossature_contreventement_ext</v>
      </c>
      <c r="B193" s="19">
        <v>191</v>
      </c>
      <c r="C193" s="19" t="s">
        <v>123</v>
      </c>
      <c r="D193" s="19" t="s">
        <v>7</v>
      </c>
      <c r="E193" s="5">
        <v>36</v>
      </c>
      <c r="F193" s="5" t="s">
        <v>39</v>
      </c>
      <c r="G193" s="5" t="s">
        <v>40</v>
      </c>
      <c r="H193" s="5" t="s">
        <v>41</v>
      </c>
      <c r="I193" s="5" t="s">
        <v>42</v>
      </c>
      <c r="J193" s="5" t="s">
        <v>43</v>
      </c>
      <c r="K193" s="5" t="s">
        <v>47</v>
      </c>
      <c r="L193" s="5"/>
      <c r="M193" s="5" t="s">
        <v>45</v>
      </c>
      <c r="N193" s="5"/>
      <c r="O193" s="5"/>
      <c r="P193" s="5" t="s">
        <v>10</v>
      </c>
      <c r="Q193" s="5" t="s">
        <v>52</v>
      </c>
      <c r="R193" s="5"/>
    </row>
    <row r="194" spans="1:18">
      <c r="A194" s="19" t="str">
        <f>E194&amp;"_"&amp;COUNTIF(E$3:$E194,E194)&amp;"_"&amp;F194</f>
        <v>37_29_Ossature_contreventement_ext</v>
      </c>
      <c r="B194" s="19">
        <v>192</v>
      </c>
      <c r="C194" s="19" t="s">
        <v>123</v>
      </c>
      <c r="D194" s="19" t="s">
        <v>7</v>
      </c>
      <c r="E194" s="5">
        <v>37</v>
      </c>
      <c r="F194" s="5" t="s">
        <v>39</v>
      </c>
      <c r="G194" s="5" t="s">
        <v>40</v>
      </c>
      <c r="H194" s="5" t="s">
        <v>41</v>
      </c>
      <c r="I194" s="5" t="s">
        <v>42</v>
      </c>
      <c r="J194" s="5" t="s">
        <v>43</v>
      </c>
      <c r="K194" s="5" t="s">
        <v>47</v>
      </c>
      <c r="L194" s="5"/>
      <c r="M194" s="5" t="s">
        <v>45</v>
      </c>
      <c r="N194" s="5"/>
      <c r="O194" s="5"/>
      <c r="P194" s="5" t="s">
        <v>10</v>
      </c>
      <c r="Q194" s="5" t="s">
        <v>53</v>
      </c>
      <c r="R194" s="5"/>
    </row>
    <row r="195" spans="1:18">
      <c r="A195" s="19" t="str">
        <f>E195&amp;"_"&amp;COUNTIF(E$3:$E195,E195)&amp;"_"&amp;F195</f>
        <v>35_24_Ossature_contreventement_ext</v>
      </c>
      <c r="B195" s="19">
        <v>193</v>
      </c>
      <c r="C195" s="19" t="s">
        <v>123</v>
      </c>
      <c r="D195" s="19" t="s">
        <v>7</v>
      </c>
      <c r="E195" s="5">
        <v>35</v>
      </c>
      <c r="F195" s="5" t="s">
        <v>39</v>
      </c>
      <c r="G195" s="5" t="s">
        <v>40</v>
      </c>
      <c r="H195" s="5" t="s">
        <v>41</v>
      </c>
      <c r="I195" s="5" t="s">
        <v>42</v>
      </c>
      <c r="J195" s="5" t="s">
        <v>43</v>
      </c>
      <c r="K195" s="5" t="s">
        <v>47</v>
      </c>
      <c r="L195" s="5"/>
      <c r="M195" s="5" t="s">
        <v>45</v>
      </c>
      <c r="N195" s="5"/>
      <c r="O195" s="5"/>
      <c r="P195" s="5" t="s">
        <v>10</v>
      </c>
      <c r="Q195" s="5" t="s">
        <v>54</v>
      </c>
      <c r="R195" s="5"/>
    </row>
    <row r="196" spans="1:18">
      <c r="A196" s="19" t="str">
        <f>E196&amp;"_"&amp;COUNTIF(E$3:$E196,E196)&amp;"_"&amp;F196</f>
        <v>39_15_Ossature_contreventement_ext</v>
      </c>
      <c r="B196" s="19">
        <v>194</v>
      </c>
      <c r="C196" s="19" t="s">
        <v>123</v>
      </c>
      <c r="D196" s="19" t="s">
        <v>7</v>
      </c>
      <c r="E196" s="5">
        <v>39</v>
      </c>
      <c r="F196" s="5" t="s">
        <v>39</v>
      </c>
      <c r="G196" s="5" t="s">
        <v>40</v>
      </c>
      <c r="H196" s="5" t="s">
        <v>41</v>
      </c>
      <c r="I196" s="5" t="s">
        <v>42</v>
      </c>
      <c r="J196" s="5" t="s">
        <v>43</v>
      </c>
      <c r="K196" s="5" t="s">
        <v>47</v>
      </c>
      <c r="L196" s="5"/>
      <c r="M196" s="5" t="s">
        <v>45</v>
      </c>
      <c r="N196" s="5"/>
      <c r="O196" s="5"/>
      <c r="P196" s="5" t="s">
        <v>10</v>
      </c>
      <c r="Q196" s="5" t="s">
        <v>55</v>
      </c>
      <c r="R196" s="5"/>
    </row>
    <row r="197" spans="1:18">
      <c r="A197" s="19" t="str">
        <f>E197&amp;"_"&amp;COUNTIF(E$3:$E197,E197)&amp;"_"&amp;F197</f>
        <v>48_7_Ossature_contreventement_ext</v>
      </c>
      <c r="B197" s="19">
        <v>195</v>
      </c>
      <c r="C197" s="19" t="s">
        <v>123</v>
      </c>
      <c r="D197" s="19" t="s">
        <v>7</v>
      </c>
      <c r="E197" s="5">
        <v>48</v>
      </c>
      <c r="F197" s="5" t="s">
        <v>39</v>
      </c>
      <c r="G197" s="5" t="s">
        <v>40</v>
      </c>
      <c r="H197" s="5" t="s">
        <v>41</v>
      </c>
      <c r="I197" s="5" t="s">
        <v>42</v>
      </c>
      <c r="J197" s="5" t="s">
        <v>43</v>
      </c>
      <c r="K197" s="5" t="s">
        <v>47</v>
      </c>
      <c r="L197" s="5"/>
      <c r="M197" s="5" t="s">
        <v>45</v>
      </c>
      <c r="N197" s="5"/>
      <c r="O197" s="5"/>
      <c r="P197" s="5" t="s">
        <v>10</v>
      </c>
      <c r="Q197" s="5" t="s">
        <v>56</v>
      </c>
      <c r="R197" s="5"/>
    </row>
    <row r="198" spans="1:18">
      <c r="A198" s="19" t="str">
        <f>E198&amp;"_"&amp;COUNTIF(E$3:$E198,E198)&amp;"_"&amp;F198</f>
        <v>49_20_Ossature_contreventement_ext</v>
      </c>
      <c r="B198" s="19">
        <v>196</v>
      </c>
      <c r="C198" s="19" t="s">
        <v>123</v>
      </c>
      <c r="D198" s="19" t="s">
        <v>7</v>
      </c>
      <c r="E198" s="5">
        <v>49</v>
      </c>
      <c r="F198" s="5" t="s">
        <v>39</v>
      </c>
      <c r="G198" s="5" t="s">
        <v>40</v>
      </c>
      <c r="H198" s="5" t="s">
        <v>41</v>
      </c>
      <c r="I198" s="5" t="s">
        <v>42</v>
      </c>
      <c r="J198" s="5" t="s">
        <v>43</v>
      </c>
      <c r="K198" s="5" t="s">
        <v>47</v>
      </c>
      <c r="L198" s="5"/>
      <c r="M198" s="5" t="s">
        <v>45</v>
      </c>
      <c r="N198" s="5"/>
      <c r="O198" s="5"/>
      <c r="P198" s="5" t="s">
        <v>10</v>
      </c>
      <c r="Q198" s="5" t="s">
        <v>57</v>
      </c>
      <c r="R198" s="5"/>
    </row>
    <row r="199" spans="1:18">
      <c r="A199" s="19" t="str">
        <f>E199&amp;"_"&amp;COUNTIF(E$3:$E199,E199)&amp;"_"&amp;F199</f>
        <v>35_25_Ossature_contreventement_ext</v>
      </c>
      <c r="B199" s="19">
        <v>197</v>
      </c>
      <c r="C199" s="19" t="s">
        <v>123</v>
      </c>
      <c r="D199" s="19" t="s">
        <v>7</v>
      </c>
      <c r="E199" s="19">
        <v>35</v>
      </c>
      <c r="F199" s="19" t="s">
        <v>39</v>
      </c>
      <c r="G199" s="19" t="s">
        <v>40</v>
      </c>
      <c r="H199" s="19" t="s">
        <v>41</v>
      </c>
      <c r="I199" s="19" t="s">
        <v>42</v>
      </c>
      <c r="J199" s="19" t="s">
        <v>43</v>
      </c>
      <c r="K199" s="19" t="s">
        <v>47</v>
      </c>
      <c r="L199" s="19"/>
      <c r="M199" s="19" t="s">
        <v>45</v>
      </c>
      <c r="N199" s="19"/>
      <c r="O199" s="19"/>
      <c r="P199" s="19" t="s">
        <v>11</v>
      </c>
      <c r="Q199" s="19" t="s">
        <v>51</v>
      </c>
      <c r="R199" s="19"/>
    </row>
    <row r="200" spans="1:18">
      <c r="A200" s="19" t="str">
        <f>E200&amp;"_"&amp;COUNTIF(E$3:$E200,E200)&amp;"_"&amp;F200</f>
        <v>35_26_Ossature_contreventement_ext</v>
      </c>
      <c r="B200" s="19">
        <v>198</v>
      </c>
      <c r="C200" s="19" t="s">
        <v>123</v>
      </c>
      <c r="D200" s="19" t="s">
        <v>7</v>
      </c>
      <c r="E200" s="19">
        <v>35</v>
      </c>
      <c r="F200" s="19" t="s">
        <v>39</v>
      </c>
      <c r="G200" s="19" t="s">
        <v>40</v>
      </c>
      <c r="H200" s="19" t="s">
        <v>41</v>
      </c>
      <c r="I200" s="19" t="s">
        <v>42</v>
      </c>
      <c r="J200" s="19" t="s">
        <v>43</v>
      </c>
      <c r="K200" s="19" t="s">
        <v>47</v>
      </c>
      <c r="L200" s="19"/>
      <c r="M200" s="19" t="s">
        <v>45</v>
      </c>
      <c r="N200" s="19"/>
      <c r="O200" s="19"/>
      <c r="P200" s="19" t="s">
        <v>11</v>
      </c>
      <c r="Q200" s="19" t="s">
        <v>52</v>
      </c>
      <c r="R200" s="19"/>
    </row>
    <row r="201" spans="1:18">
      <c r="A201" s="19" t="str">
        <f>E201&amp;"_"&amp;COUNTIF(E$3:$E201,E201)&amp;"_"&amp;F201</f>
        <v>36_30_Ossature_contreventement_ext</v>
      </c>
      <c r="B201" s="19">
        <v>199</v>
      </c>
      <c r="C201" s="19" t="s">
        <v>123</v>
      </c>
      <c r="D201" s="19" t="s">
        <v>7</v>
      </c>
      <c r="E201" s="19">
        <v>36</v>
      </c>
      <c r="F201" s="19" t="s">
        <v>39</v>
      </c>
      <c r="G201" s="19" t="s">
        <v>40</v>
      </c>
      <c r="H201" s="19" t="s">
        <v>41</v>
      </c>
      <c r="I201" s="19" t="s">
        <v>42</v>
      </c>
      <c r="J201" s="19" t="s">
        <v>43</v>
      </c>
      <c r="K201" s="19" t="s">
        <v>47</v>
      </c>
      <c r="L201" s="19"/>
      <c r="M201" s="19" t="s">
        <v>45</v>
      </c>
      <c r="N201" s="19"/>
      <c r="O201" s="19"/>
      <c r="P201" s="19" t="s">
        <v>11</v>
      </c>
      <c r="Q201" s="19" t="s">
        <v>53</v>
      </c>
      <c r="R201" s="19"/>
    </row>
    <row r="202" spans="1:18">
      <c r="A202" s="19" t="str">
        <f>E202&amp;"_"&amp;COUNTIF(E$3:$E202,E202)&amp;"_"&amp;F202</f>
        <v>34_17_Ossature_contreventement_ext</v>
      </c>
      <c r="B202" s="19">
        <v>200</v>
      </c>
      <c r="C202" s="19" t="s">
        <v>123</v>
      </c>
      <c r="D202" s="19" t="s">
        <v>7</v>
      </c>
      <c r="E202" s="19">
        <v>34</v>
      </c>
      <c r="F202" s="19" t="s">
        <v>39</v>
      </c>
      <c r="G202" s="19" t="s">
        <v>40</v>
      </c>
      <c r="H202" s="19" t="s">
        <v>41</v>
      </c>
      <c r="I202" s="19" t="s">
        <v>42</v>
      </c>
      <c r="J202" s="19" t="s">
        <v>43</v>
      </c>
      <c r="K202" s="19" t="s">
        <v>47</v>
      </c>
      <c r="L202" s="19"/>
      <c r="M202" s="19" t="s">
        <v>45</v>
      </c>
      <c r="N202" s="19"/>
      <c r="O202" s="19"/>
      <c r="P202" s="19" t="s">
        <v>11</v>
      </c>
      <c r="Q202" s="19" t="s">
        <v>54</v>
      </c>
      <c r="R202" s="19"/>
    </row>
    <row r="203" spans="1:18">
      <c r="A203" s="19" t="str">
        <f>E203&amp;"_"&amp;COUNTIF(E$3:$E203,E203)&amp;"_"&amp;F203</f>
        <v>38_25_Ossature_contreventement_ext</v>
      </c>
      <c r="B203" s="19">
        <v>201</v>
      </c>
      <c r="C203" s="19" t="s">
        <v>123</v>
      </c>
      <c r="D203" s="19" t="s">
        <v>7</v>
      </c>
      <c r="E203" s="19">
        <v>38</v>
      </c>
      <c r="F203" s="19" t="s">
        <v>39</v>
      </c>
      <c r="G203" s="19" t="s">
        <v>40</v>
      </c>
      <c r="H203" s="19" t="s">
        <v>41</v>
      </c>
      <c r="I203" s="19" t="s">
        <v>42</v>
      </c>
      <c r="J203" s="19" t="s">
        <v>43</v>
      </c>
      <c r="K203" s="19" t="s">
        <v>47</v>
      </c>
      <c r="L203" s="19"/>
      <c r="M203" s="19" t="s">
        <v>45</v>
      </c>
      <c r="N203" s="19"/>
      <c r="O203" s="19"/>
      <c r="P203" s="19" t="s">
        <v>11</v>
      </c>
      <c r="Q203" s="19" t="s">
        <v>55</v>
      </c>
      <c r="R203" s="19"/>
    </row>
    <row r="204" spans="1:18">
      <c r="A204" s="19" t="str">
        <f>E204&amp;"_"&amp;COUNTIF(E$3:$E204,E204)&amp;"_"&amp;F204</f>
        <v>47_6_Ossature_contreventement_ext</v>
      </c>
      <c r="B204" s="19">
        <v>202</v>
      </c>
      <c r="C204" s="19" t="s">
        <v>123</v>
      </c>
      <c r="D204" s="19" t="s">
        <v>7</v>
      </c>
      <c r="E204" s="19">
        <v>47</v>
      </c>
      <c r="F204" s="19" t="s">
        <v>39</v>
      </c>
      <c r="G204" s="19" t="s">
        <v>40</v>
      </c>
      <c r="H204" s="19" t="s">
        <v>41</v>
      </c>
      <c r="I204" s="19" t="s">
        <v>42</v>
      </c>
      <c r="J204" s="19" t="s">
        <v>43</v>
      </c>
      <c r="K204" s="19" t="s">
        <v>47</v>
      </c>
      <c r="L204" s="19"/>
      <c r="M204" s="19" t="s">
        <v>45</v>
      </c>
      <c r="N204" s="19"/>
      <c r="O204" s="19"/>
      <c r="P204" s="19" t="s">
        <v>11</v>
      </c>
      <c r="Q204" s="19" t="s">
        <v>56</v>
      </c>
      <c r="R204" s="19"/>
    </row>
    <row r="205" spans="1:18">
      <c r="A205" s="19" t="str">
        <f>E205&amp;"_"&amp;COUNTIF(E$3:$E205,E205)&amp;"_"&amp;F205</f>
        <v>48_8_Ossature_contreventement_ext</v>
      </c>
      <c r="B205" s="19">
        <v>203</v>
      </c>
      <c r="C205" s="19" t="s">
        <v>123</v>
      </c>
      <c r="D205" s="19" t="s">
        <v>7</v>
      </c>
      <c r="E205" s="19">
        <v>48</v>
      </c>
      <c r="F205" s="19" t="s">
        <v>39</v>
      </c>
      <c r="G205" s="19" t="s">
        <v>40</v>
      </c>
      <c r="H205" s="19" t="s">
        <v>41</v>
      </c>
      <c r="I205" s="19" t="s">
        <v>42</v>
      </c>
      <c r="J205" s="19" t="s">
        <v>43</v>
      </c>
      <c r="K205" s="19" t="s">
        <v>47</v>
      </c>
      <c r="L205" s="19"/>
      <c r="M205" s="19" t="s">
        <v>45</v>
      </c>
      <c r="N205" s="19"/>
      <c r="O205" s="19"/>
      <c r="P205" s="19" t="s">
        <v>11</v>
      </c>
      <c r="Q205" s="19" t="s">
        <v>57</v>
      </c>
      <c r="R205" s="19"/>
    </row>
    <row r="206" spans="1:18">
      <c r="A206" s="19" t="str">
        <f>E206&amp;"_"&amp;COUNTIF(E$3:$E206,E206)&amp;"_"&amp;F206</f>
        <v>36_31_Ossature_contreventement_ext</v>
      </c>
      <c r="B206" s="19">
        <v>204</v>
      </c>
      <c r="C206" s="19" t="s">
        <v>123</v>
      </c>
      <c r="D206" s="19" t="s">
        <v>7</v>
      </c>
      <c r="E206" s="5">
        <v>36</v>
      </c>
      <c r="F206" s="5" t="s">
        <v>39</v>
      </c>
      <c r="G206" s="5" t="s">
        <v>40</v>
      </c>
      <c r="H206" s="5" t="s">
        <v>41</v>
      </c>
      <c r="I206" s="5" t="s">
        <v>42</v>
      </c>
      <c r="J206" s="5" t="s">
        <v>43</v>
      </c>
      <c r="K206" s="5" t="s">
        <v>47</v>
      </c>
      <c r="L206" s="5"/>
      <c r="M206" s="5" t="s">
        <v>45</v>
      </c>
      <c r="N206" s="5"/>
      <c r="O206" s="5"/>
      <c r="P206" s="5" t="s">
        <v>12</v>
      </c>
      <c r="Q206" s="5" t="s">
        <v>51</v>
      </c>
      <c r="R206" s="5"/>
    </row>
    <row r="207" spans="1:18">
      <c r="A207" s="19" t="str">
        <f>E207&amp;"_"&amp;COUNTIF(E$3:$E207,E207)&amp;"_"&amp;F207</f>
        <v>36_32_Ossature_contreventement_ext</v>
      </c>
      <c r="B207" s="19">
        <v>205</v>
      </c>
      <c r="C207" s="19" t="s">
        <v>123</v>
      </c>
      <c r="D207" s="19" t="s">
        <v>7</v>
      </c>
      <c r="E207" s="5">
        <v>36</v>
      </c>
      <c r="F207" s="5" t="s">
        <v>39</v>
      </c>
      <c r="G207" s="5" t="s">
        <v>40</v>
      </c>
      <c r="H207" s="5" t="s">
        <v>41</v>
      </c>
      <c r="I207" s="5" t="s">
        <v>42</v>
      </c>
      <c r="J207" s="5" t="s">
        <v>43</v>
      </c>
      <c r="K207" s="5" t="s">
        <v>47</v>
      </c>
      <c r="L207" s="5"/>
      <c r="M207" s="5" t="s">
        <v>45</v>
      </c>
      <c r="N207" s="5"/>
      <c r="O207" s="5"/>
      <c r="P207" s="5" t="s">
        <v>12</v>
      </c>
      <c r="Q207" s="5" t="s">
        <v>52</v>
      </c>
      <c r="R207" s="5"/>
    </row>
    <row r="208" spans="1:18">
      <c r="A208" s="19" t="str">
        <f>E208&amp;"_"&amp;COUNTIF(E$3:$E208,E208)&amp;"_"&amp;F208</f>
        <v>37_30_Ossature_contreventement_ext</v>
      </c>
      <c r="B208" s="19">
        <v>206</v>
      </c>
      <c r="C208" s="19" t="s">
        <v>123</v>
      </c>
      <c r="D208" s="19" t="s">
        <v>7</v>
      </c>
      <c r="E208" s="5">
        <v>37</v>
      </c>
      <c r="F208" s="5" t="s">
        <v>39</v>
      </c>
      <c r="G208" s="5" t="s">
        <v>40</v>
      </c>
      <c r="H208" s="5" t="s">
        <v>41</v>
      </c>
      <c r="I208" s="5" t="s">
        <v>42</v>
      </c>
      <c r="J208" s="5" t="s">
        <v>43</v>
      </c>
      <c r="K208" s="5" t="s">
        <v>47</v>
      </c>
      <c r="L208" s="5"/>
      <c r="M208" s="5" t="s">
        <v>45</v>
      </c>
      <c r="N208" s="5"/>
      <c r="O208" s="5"/>
      <c r="P208" s="5" t="s">
        <v>12</v>
      </c>
      <c r="Q208" s="5" t="s">
        <v>53</v>
      </c>
      <c r="R208" s="5"/>
    </row>
    <row r="209" spans="1:18">
      <c r="A209" s="19" t="str">
        <f>E209&amp;"_"&amp;COUNTIF(E$3:$E209,E209)&amp;"_"&amp;F209</f>
        <v>35_27_Ossature_contreventement_ext</v>
      </c>
      <c r="B209" s="19">
        <v>207</v>
      </c>
      <c r="C209" s="19" t="s">
        <v>123</v>
      </c>
      <c r="D209" s="19" t="s">
        <v>7</v>
      </c>
      <c r="E209" s="5">
        <v>35</v>
      </c>
      <c r="F209" s="5" t="s">
        <v>39</v>
      </c>
      <c r="G209" s="5" t="s">
        <v>40</v>
      </c>
      <c r="H209" s="5" t="s">
        <v>41</v>
      </c>
      <c r="I209" s="5" t="s">
        <v>42</v>
      </c>
      <c r="J209" s="5" t="s">
        <v>43</v>
      </c>
      <c r="K209" s="5" t="s">
        <v>47</v>
      </c>
      <c r="L209" s="5"/>
      <c r="M209" s="5" t="s">
        <v>45</v>
      </c>
      <c r="N209" s="5"/>
      <c r="O209" s="5"/>
      <c r="P209" s="5" t="s">
        <v>12</v>
      </c>
      <c r="Q209" s="5" t="s">
        <v>54</v>
      </c>
      <c r="R209" s="5"/>
    </row>
    <row r="210" spans="1:18">
      <c r="A210" s="19" t="str">
        <f>E210&amp;"_"&amp;COUNTIF(E$3:$E210,E210)&amp;"_"&amp;F210</f>
        <v>39_16_Ossature_contreventement_ext</v>
      </c>
      <c r="B210" s="19">
        <v>208</v>
      </c>
      <c r="C210" s="19" t="s">
        <v>123</v>
      </c>
      <c r="D210" s="19" t="s">
        <v>7</v>
      </c>
      <c r="E210" s="5">
        <v>39</v>
      </c>
      <c r="F210" s="5" t="s">
        <v>39</v>
      </c>
      <c r="G210" s="5" t="s">
        <v>40</v>
      </c>
      <c r="H210" s="5" t="s">
        <v>41</v>
      </c>
      <c r="I210" s="5" t="s">
        <v>42</v>
      </c>
      <c r="J210" s="5" t="s">
        <v>43</v>
      </c>
      <c r="K210" s="5" t="s">
        <v>47</v>
      </c>
      <c r="L210" s="5"/>
      <c r="M210" s="5" t="s">
        <v>45</v>
      </c>
      <c r="N210" s="5"/>
      <c r="O210" s="5"/>
      <c r="P210" s="5" t="s">
        <v>12</v>
      </c>
      <c r="Q210" s="5" t="s">
        <v>55</v>
      </c>
      <c r="R210" s="5"/>
    </row>
    <row r="211" spans="1:18">
      <c r="A211" s="19" t="str">
        <f>E211&amp;"_"&amp;COUNTIF(E$3:$E211,E211)&amp;"_"&amp;F211</f>
        <v>48_9_Ossature_contreventement_ext</v>
      </c>
      <c r="B211" s="19">
        <v>209</v>
      </c>
      <c r="C211" s="19" t="s">
        <v>123</v>
      </c>
      <c r="D211" s="19" t="s">
        <v>7</v>
      </c>
      <c r="E211" s="5">
        <v>48</v>
      </c>
      <c r="F211" s="5" t="s">
        <v>39</v>
      </c>
      <c r="G211" s="5" t="s">
        <v>40</v>
      </c>
      <c r="H211" s="5" t="s">
        <v>41</v>
      </c>
      <c r="I211" s="5" t="s">
        <v>42</v>
      </c>
      <c r="J211" s="5" t="s">
        <v>43</v>
      </c>
      <c r="K211" s="5" t="s">
        <v>47</v>
      </c>
      <c r="L211" s="5"/>
      <c r="M211" s="5" t="s">
        <v>45</v>
      </c>
      <c r="N211" s="5"/>
      <c r="O211" s="5"/>
      <c r="P211" s="5" t="s">
        <v>12</v>
      </c>
      <c r="Q211" s="5" t="s">
        <v>56</v>
      </c>
      <c r="R211" s="5"/>
    </row>
    <row r="212" spans="1:18">
      <c r="A212" s="19" t="str">
        <f>E212&amp;"_"&amp;COUNTIF(E$3:$E212,E212)&amp;"_"&amp;F212</f>
        <v>49_21_Ossature_contreventement_ext</v>
      </c>
      <c r="B212" s="19">
        <v>210</v>
      </c>
      <c r="C212" s="19" t="s">
        <v>123</v>
      </c>
      <c r="D212" s="19" t="s">
        <v>7</v>
      </c>
      <c r="E212" s="5">
        <v>49</v>
      </c>
      <c r="F212" s="5" t="s">
        <v>39</v>
      </c>
      <c r="G212" s="5" t="s">
        <v>40</v>
      </c>
      <c r="H212" s="5" t="s">
        <v>41</v>
      </c>
      <c r="I212" s="5" t="s">
        <v>42</v>
      </c>
      <c r="J212" s="5" t="s">
        <v>43</v>
      </c>
      <c r="K212" s="5" t="s">
        <v>47</v>
      </c>
      <c r="L212" s="5"/>
      <c r="M212" s="5" t="s">
        <v>45</v>
      </c>
      <c r="N212" s="5"/>
      <c r="O212" s="5"/>
      <c r="P212" s="5" t="s">
        <v>12</v>
      </c>
      <c r="Q212" s="5" t="s">
        <v>57</v>
      </c>
      <c r="R212" s="5"/>
    </row>
    <row r="213" spans="1:18">
      <c r="A213" s="19" t="str">
        <f>E213&amp;"_"&amp;COUNTIF(E$3:$E213,E213)&amp;"_"&amp;F213</f>
        <v>38_26_Ossature_contreventement_ext</v>
      </c>
      <c r="B213" s="19">
        <v>211</v>
      </c>
      <c r="C213" s="19" t="s">
        <v>123</v>
      </c>
      <c r="D213" s="19" t="s">
        <v>7</v>
      </c>
      <c r="E213" s="19">
        <v>38</v>
      </c>
      <c r="F213" s="19" t="s">
        <v>39</v>
      </c>
      <c r="G213" s="19" t="s">
        <v>40</v>
      </c>
      <c r="H213" s="19" t="s">
        <v>41</v>
      </c>
      <c r="I213" s="19" t="s">
        <v>42</v>
      </c>
      <c r="J213" s="19" t="s">
        <v>43</v>
      </c>
      <c r="K213" s="19" t="s">
        <v>47</v>
      </c>
      <c r="L213" s="19"/>
      <c r="M213" s="19" t="s">
        <v>45</v>
      </c>
      <c r="N213" s="19"/>
      <c r="O213" s="19"/>
      <c r="P213" s="19" t="s">
        <v>13</v>
      </c>
      <c r="Q213" s="19" t="s">
        <v>51</v>
      </c>
      <c r="R213" s="19"/>
    </row>
    <row r="214" spans="1:18">
      <c r="A214" s="19" t="str">
        <f>E214&amp;"_"&amp;COUNTIF(E$3:$E214,E214)&amp;"_"&amp;F214</f>
        <v>38_27_Ossature_contreventement_ext</v>
      </c>
      <c r="B214" s="19">
        <v>212</v>
      </c>
      <c r="C214" s="19" t="s">
        <v>123</v>
      </c>
      <c r="D214" s="19" t="s">
        <v>7</v>
      </c>
      <c r="E214" s="19">
        <v>38</v>
      </c>
      <c r="F214" s="19" t="s">
        <v>39</v>
      </c>
      <c r="G214" s="19" t="s">
        <v>40</v>
      </c>
      <c r="H214" s="19" t="s">
        <v>41</v>
      </c>
      <c r="I214" s="19" t="s">
        <v>42</v>
      </c>
      <c r="J214" s="19" t="s">
        <v>43</v>
      </c>
      <c r="K214" s="19" t="s">
        <v>47</v>
      </c>
      <c r="L214" s="19"/>
      <c r="M214" s="19" t="s">
        <v>45</v>
      </c>
      <c r="N214" s="19"/>
      <c r="O214" s="19"/>
      <c r="P214" s="19" t="s">
        <v>13</v>
      </c>
      <c r="Q214" s="19" t="s">
        <v>52</v>
      </c>
      <c r="R214" s="19"/>
    </row>
    <row r="215" spans="1:18">
      <c r="A215" s="19" t="str">
        <f>E215&amp;"_"&amp;COUNTIF(E$3:$E215,E215)&amp;"_"&amp;F215</f>
        <v>39_17_Ossature_contreventement_ext</v>
      </c>
      <c r="B215" s="19">
        <v>213</v>
      </c>
      <c r="C215" s="19" t="s">
        <v>123</v>
      </c>
      <c r="D215" s="19" t="s">
        <v>7</v>
      </c>
      <c r="E215" s="19">
        <v>39</v>
      </c>
      <c r="F215" s="19" t="s">
        <v>39</v>
      </c>
      <c r="G215" s="19" t="s">
        <v>40</v>
      </c>
      <c r="H215" s="19" t="s">
        <v>41</v>
      </c>
      <c r="I215" s="19" t="s">
        <v>42</v>
      </c>
      <c r="J215" s="19" t="s">
        <v>43</v>
      </c>
      <c r="K215" s="19" t="s">
        <v>47</v>
      </c>
      <c r="L215" s="19"/>
      <c r="M215" s="19" t="s">
        <v>45</v>
      </c>
      <c r="N215" s="19"/>
      <c r="O215" s="19"/>
      <c r="P215" s="19" t="s">
        <v>13</v>
      </c>
      <c r="Q215" s="19" t="s">
        <v>53</v>
      </c>
      <c r="R215" s="19"/>
    </row>
    <row r="216" spans="1:18">
      <c r="A216" s="19" t="str">
        <f>E216&amp;"_"&amp;COUNTIF(E$3:$E216,E216)&amp;"_"&amp;F216</f>
        <v>37_31_Ossature_contreventement_ext</v>
      </c>
      <c r="B216" s="19">
        <v>214</v>
      </c>
      <c r="C216" s="19" t="s">
        <v>123</v>
      </c>
      <c r="D216" s="19" t="s">
        <v>7</v>
      </c>
      <c r="E216" s="19">
        <v>37</v>
      </c>
      <c r="F216" s="19" t="s">
        <v>39</v>
      </c>
      <c r="G216" s="19" t="s">
        <v>40</v>
      </c>
      <c r="H216" s="19" t="s">
        <v>41</v>
      </c>
      <c r="I216" s="19" t="s">
        <v>42</v>
      </c>
      <c r="J216" s="19" t="s">
        <v>43</v>
      </c>
      <c r="K216" s="19" t="s">
        <v>47</v>
      </c>
      <c r="L216" s="19"/>
      <c r="M216" s="19" t="s">
        <v>45</v>
      </c>
      <c r="N216" s="19"/>
      <c r="O216" s="19"/>
      <c r="P216" s="19" t="s">
        <v>13</v>
      </c>
      <c r="Q216" s="19" t="s">
        <v>54</v>
      </c>
      <c r="R216" s="19"/>
    </row>
    <row r="217" spans="1:18">
      <c r="A217" s="19" t="str">
        <f>E217&amp;"_"&amp;COUNTIF(E$3:$E217,E217)&amp;"_"&amp;F217</f>
        <v>41_5_Ossature_contreventement_ext</v>
      </c>
      <c r="B217" s="19">
        <v>215</v>
      </c>
      <c r="C217" s="19" t="s">
        <v>123</v>
      </c>
      <c r="D217" s="19" t="s">
        <v>7</v>
      </c>
      <c r="E217" s="19">
        <v>41</v>
      </c>
      <c r="F217" s="19" t="s">
        <v>39</v>
      </c>
      <c r="G217" s="19" t="s">
        <v>40</v>
      </c>
      <c r="H217" s="19" t="s">
        <v>41</v>
      </c>
      <c r="I217" s="19" t="s">
        <v>42</v>
      </c>
      <c r="J217" s="19" t="s">
        <v>43</v>
      </c>
      <c r="K217" s="19" t="s">
        <v>47</v>
      </c>
      <c r="L217" s="19"/>
      <c r="M217" s="19" t="s">
        <v>45</v>
      </c>
      <c r="N217" s="19"/>
      <c r="O217" s="19"/>
      <c r="P217" s="19" t="s">
        <v>13</v>
      </c>
      <c r="Q217" s="19" t="s">
        <v>55</v>
      </c>
      <c r="R217" s="19"/>
    </row>
    <row r="218" spans="1:18">
      <c r="A218" s="19" t="str">
        <f>E218&amp;"_"&amp;COUNTIF(E$3:$E218,E218)&amp;"_"&amp;F218</f>
        <v>49_22_Ossature_contreventement_ext</v>
      </c>
      <c r="B218" s="19">
        <v>216</v>
      </c>
      <c r="C218" s="19" t="s">
        <v>123</v>
      </c>
      <c r="D218" s="19" t="s">
        <v>7</v>
      </c>
      <c r="E218" s="19">
        <v>49</v>
      </c>
      <c r="F218" s="19" t="s">
        <v>39</v>
      </c>
      <c r="G218" s="19" t="s">
        <v>40</v>
      </c>
      <c r="H218" s="19" t="s">
        <v>41</v>
      </c>
      <c r="I218" s="19" t="s">
        <v>42</v>
      </c>
      <c r="J218" s="19" t="s">
        <v>43</v>
      </c>
      <c r="K218" s="19" t="s">
        <v>47</v>
      </c>
      <c r="L218" s="19"/>
      <c r="M218" s="19" t="s">
        <v>45</v>
      </c>
      <c r="N218" s="19"/>
      <c r="O218" s="19"/>
      <c r="P218" s="19" t="s">
        <v>13</v>
      </c>
      <c r="Q218" s="19" t="s">
        <v>56</v>
      </c>
      <c r="R218" s="19"/>
    </row>
    <row r="219" spans="1:18">
      <c r="A219" s="19" t="str">
        <f>E219&amp;"_"&amp;COUNTIF(E$3:$E219,E219)&amp;"_"&amp;F219</f>
        <v>49_23_Ossature_contreventement_ext</v>
      </c>
      <c r="B219" s="19">
        <v>217</v>
      </c>
      <c r="C219" s="19" t="s">
        <v>123</v>
      </c>
      <c r="D219" s="19" t="s">
        <v>7</v>
      </c>
      <c r="E219" s="19">
        <v>49</v>
      </c>
      <c r="F219" s="19" t="s">
        <v>39</v>
      </c>
      <c r="G219" s="19" t="s">
        <v>40</v>
      </c>
      <c r="H219" s="19" t="s">
        <v>41</v>
      </c>
      <c r="I219" s="19" t="s">
        <v>42</v>
      </c>
      <c r="J219" s="19" t="s">
        <v>43</v>
      </c>
      <c r="K219" s="19" t="s">
        <v>47</v>
      </c>
      <c r="L219" s="19"/>
      <c r="M219" s="19" t="s">
        <v>45</v>
      </c>
      <c r="N219" s="19"/>
      <c r="O219" s="19"/>
      <c r="P219" s="19" t="s">
        <v>13</v>
      </c>
      <c r="Q219" s="19" t="s">
        <v>57</v>
      </c>
      <c r="R219" s="19"/>
    </row>
    <row r="220" spans="1:18">
      <c r="A220" s="19" t="str">
        <f>E220&amp;"_"&amp;COUNTIF(E$3:$E220,E220)&amp;"_"&amp;F220</f>
        <v>39_18_Ossature_contreventement_ext</v>
      </c>
      <c r="B220" s="19">
        <v>218</v>
      </c>
      <c r="C220" s="19" t="s">
        <v>123</v>
      </c>
      <c r="D220" s="19" t="s">
        <v>7</v>
      </c>
      <c r="E220" s="5">
        <v>39</v>
      </c>
      <c r="F220" s="5" t="s">
        <v>39</v>
      </c>
      <c r="G220" s="5" t="s">
        <v>40</v>
      </c>
      <c r="H220" s="5" t="s">
        <v>41</v>
      </c>
      <c r="I220" s="5" t="s">
        <v>42</v>
      </c>
      <c r="J220" s="5" t="s">
        <v>43</v>
      </c>
      <c r="K220" s="5" t="s">
        <v>47</v>
      </c>
      <c r="L220" s="5"/>
      <c r="M220" s="5" t="s">
        <v>45</v>
      </c>
      <c r="N220" s="5"/>
      <c r="O220" s="5"/>
      <c r="P220" s="5" t="s">
        <v>14</v>
      </c>
      <c r="Q220" s="5" t="s">
        <v>51</v>
      </c>
      <c r="R220" s="5"/>
    </row>
    <row r="221" spans="1:18">
      <c r="A221" s="19" t="str">
        <f>E221&amp;"_"&amp;COUNTIF(E$3:$E221,E221)&amp;"_"&amp;F221</f>
        <v>39_19_Ossature_contreventement_ext</v>
      </c>
      <c r="B221" s="19">
        <v>219</v>
      </c>
      <c r="C221" s="19" t="s">
        <v>123</v>
      </c>
      <c r="D221" s="19" t="s">
        <v>7</v>
      </c>
      <c r="E221" s="5">
        <v>39</v>
      </c>
      <c r="F221" s="5" t="s">
        <v>39</v>
      </c>
      <c r="G221" s="5" t="s">
        <v>40</v>
      </c>
      <c r="H221" s="5" t="s">
        <v>41</v>
      </c>
      <c r="I221" s="5" t="s">
        <v>42</v>
      </c>
      <c r="J221" s="5" t="s">
        <v>43</v>
      </c>
      <c r="K221" s="5" t="s">
        <v>47</v>
      </c>
      <c r="L221" s="5"/>
      <c r="M221" s="5" t="s">
        <v>45</v>
      </c>
      <c r="N221" s="5"/>
      <c r="O221" s="5"/>
      <c r="P221" s="5" t="s">
        <v>14</v>
      </c>
      <c r="Q221" s="5" t="s">
        <v>52</v>
      </c>
      <c r="R221" s="5"/>
    </row>
    <row r="222" spans="1:18">
      <c r="A222" s="19" t="str">
        <f>E222&amp;"_"&amp;COUNTIF(E$3:$E222,E222)&amp;"_"&amp;F222</f>
        <v>40_9_Ossature_contreventement_ext</v>
      </c>
      <c r="B222" s="19">
        <v>220</v>
      </c>
      <c r="C222" s="19" t="s">
        <v>123</v>
      </c>
      <c r="D222" s="19" t="s">
        <v>7</v>
      </c>
      <c r="E222" s="5">
        <v>40</v>
      </c>
      <c r="F222" s="5" t="s">
        <v>39</v>
      </c>
      <c r="G222" s="5" t="s">
        <v>40</v>
      </c>
      <c r="H222" s="5" t="s">
        <v>41</v>
      </c>
      <c r="I222" s="5" t="s">
        <v>42</v>
      </c>
      <c r="J222" s="5" t="s">
        <v>43</v>
      </c>
      <c r="K222" s="5" t="s">
        <v>47</v>
      </c>
      <c r="L222" s="5"/>
      <c r="M222" s="5" t="s">
        <v>45</v>
      </c>
      <c r="N222" s="5"/>
      <c r="O222" s="5"/>
      <c r="P222" s="5" t="s">
        <v>14</v>
      </c>
      <c r="Q222" s="5" t="s">
        <v>53</v>
      </c>
      <c r="R222" s="5"/>
    </row>
    <row r="223" spans="1:18">
      <c r="A223" s="19" t="str">
        <f>E223&amp;"_"&amp;COUNTIF(E$3:$E223,E223)&amp;"_"&amp;F223</f>
        <v>38_28_Ossature_contreventement_ext</v>
      </c>
      <c r="B223" s="19">
        <v>221</v>
      </c>
      <c r="C223" s="19" t="s">
        <v>123</v>
      </c>
      <c r="D223" s="19" t="s">
        <v>7</v>
      </c>
      <c r="E223" s="5">
        <v>38</v>
      </c>
      <c r="F223" s="5" t="s">
        <v>39</v>
      </c>
      <c r="G223" s="5" t="s">
        <v>40</v>
      </c>
      <c r="H223" s="5" t="s">
        <v>41</v>
      </c>
      <c r="I223" s="5" t="s">
        <v>42</v>
      </c>
      <c r="J223" s="5" t="s">
        <v>43</v>
      </c>
      <c r="K223" s="5" t="s">
        <v>47</v>
      </c>
      <c r="L223" s="5"/>
      <c r="M223" s="5" t="s">
        <v>45</v>
      </c>
      <c r="N223" s="5"/>
      <c r="O223" s="5"/>
      <c r="P223" s="5" t="s">
        <v>14</v>
      </c>
      <c r="Q223" s="5" t="s">
        <v>54</v>
      </c>
      <c r="R223" s="5"/>
    </row>
    <row r="224" spans="1:18">
      <c r="A224" s="19" t="str">
        <f>E224&amp;"_"&amp;COUNTIF(E$3:$E224,E224)&amp;"_"&amp;F224</f>
        <v>42_2_Ossature_contreventement_ext</v>
      </c>
      <c r="B224" s="19">
        <v>222</v>
      </c>
      <c r="C224" s="19" t="s">
        <v>123</v>
      </c>
      <c r="D224" s="19" t="s">
        <v>7</v>
      </c>
      <c r="E224" s="5">
        <v>42</v>
      </c>
      <c r="F224" s="5" t="s">
        <v>39</v>
      </c>
      <c r="G224" s="5" t="s">
        <v>40</v>
      </c>
      <c r="H224" s="5" t="s">
        <v>41</v>
      </c>
      <c r="I224" s="5" t="s">
        <v>42</v>
      </c>
      <c r="J224" s="5" t="s">
        <v>43</v>
      </c>
      <c r="K224" s="5" t="s">
        <v>47</v>
      </c>
      <c r="L224" s="5"/>
      <c r="M224" s="5" t="s">
        <v>45</v>
      </c>
      <c r="N224" s="5"/>
      <c r="O224" s="5"/>
      <c r="P224" s="5" t="s">
        <v>14</v>
      </c>
      <c r="Q224" s="5" t="s">
        <v>55</v>
      </c>
      <c r="R224" s="5"/>
    </row>
    <row r="225" spans="1:18">
      <c r="A225" s="19" t="str">
        <f>E225&amp;"_"&amp;COUNTIF(E$3:$E225,E225)&amp;"_"&amp;F225</f>
        <v>49_24_Ossature_contreventement_ext</v>
      </c>
      <c r="B225" s="19">
        <v>223</v>
      </c>
      <c r="C225" s="19" t="s">
        <v>123</v>
      </c>
      <c r="D225" s="19" t="s">
        <v>7</v>
      </c>
      <c r="E225" s="5">
        <v>49</v>
      </c>
      <c r="F225" s="5" t="s">
        <v>39</v>
      </c>
      <c r="G225" s="5" t="s">
        <v>40</v>
      </c>
      <c r="H225" s="5" t="s">
        <v>41</v>
      </c>
      <c r="I225" s="5" t="s">
        <v>42</v>
      </c>
      <c r="J225" s="5" t="s">
        <v>43</v>
      </c>
      <c r="K225" s="5" t="s">
        <v>47</v>
      </c>
      <c r="L225" s="5"/>
      <c r="M225" s="5" t="s">
        <v>45</v>
      </c>
      <c r="N225" s="5"/>
      <c r="O225" s="5"/>
      <c r="P225" s="5" t="s">
        <v>14</v>
      </c>
      <c r="Q225" s="5" t="s">
        <v>56</v>
      </c>
      <c r="R225" s="5"/>
    </row>
    <row r="226" spans="1:18">
      <c r="A226" s="19" t="str">
        <f>E226&amp;"_"&amp;COUNTIF(E$3:$E226,E226)&amp;"_"&amp;F226</f>
        <v>49_25_Ossature_contreventement_ext</v>
      </c>
      <c r="B226" s="19">
        <v>224</v>
      </c>
      <c r="C226" s="19" t="s">
        <v>123</v>
      </c>
      <c r="D226" s="19" t="s">
        <v>7</v>
      </c>
      <c r="E226" s="5">
        <v>49</v>
      </c>
      <c r="F226" s="5" t="s">
        <v>39</v>
      </c>
      <c r="G226" s="5" t="s">
        <v>40</v>
      </c>
      <c r="H226" s="5" t="s">
        <v>41</v>
      </c>
      <c r="I226" s="5" t="s">
        <v>42</v>
      </c>
      <c r="J226" s="5" t="s">
        <v>43</v>
      </c>
      <c r="K226" s="5" t="s">
        <v>47</v>
      </c>
      <c r="L226" s="5"/>
      <c r="M226" s="5" t="s">
        <v>45</v>
      </c>
      <c r="N226" s="5"/>
      <c r="O226" s="5"/>
      <c r="P226" s="5" t="s">
        <v>14</v>
      </c>
      <c r="Q226" s="5" t="s">
        <v>57</v>
      </c>
      <c r="R226" s="5"/>
    </row>
    <row r="227" spans="1:18">
      <c r="A227" s="19" t="str">
        <f>E227&amp;"_"&amp;COUNTIF(E$3:$E227,E227)&amp;"_"&amp;F227</f>
        <v>35_28_Ossature_contreventement_ext</v>
      </c>
      <c r="B227" s="19">
        <v>225</v>
      </c>
      <c r="C227" s="19" t="s">
        <v>123</v>
      </c>
      <c r="D227" s="19" t="s">
        <v>7</v>
      </c>
      <c r="E227" s="19">
        <v>35</v>
      </c>
      <c r="F227" s="19" t="s">
        <v>39</v>
      </c>
      <c r="G227" s="19" t="s">
        <v>40</v>
      </c>
      <c r="H227" s="19" t="s">
        <v>41</v>
      </c>
      <c r="I227" s="19" t="s">
        <v>42</v>
      </c>
      <c r="J227" s="19" t="s">
        <v>43</v>
      </c>
      <c r="K227" s="19" t="s">
        <v>48</v>
      </c>
      <c r="L227" s="19"/>
      <c r="M227" s="19" t="s">
        <v>45</v>
      </c>
      <c r="N227" s="19"/>
      <c r="O227" s="19"/>
      <c r="P227" s="19" t="s">
        <v>9</v>
      </c>
      <c r="Q227" s="19" t="s">
        <v>51</v>
      </c>
      <c r="R227" s="19"/>
    </row>
    <row r="228" spans="1:18">
      <c r="A228" s="19" t="str">
        <f>E228&amp;"_"&amp;COUNTIF(E$3:$E228,E228)&amp;"_"&amp;F228</f>
        <v>35_29_Ossature_contreventement_ext</v>
      </c>
      <c r="B228" s="19">
        <v>226</v>
      </c>
      <c r="C228" s="19" t="s">
        <v>123</v>
      </c>
      <c r="D228" s="19" t="s">
        <v>7</v>
      </c>
      <c r="E228" s="19">
        <v>35</v>
      </c>
      <c r="F228" s="19" t="s">
        <v>39</v>
      </c>
      <c r="G228" s="19" t="s">
        <v>40</v>
      </c>
      <c r="H228" s="19" t="s">
        <v>41</v>
      </c>
      <c r="I228" s="19" t="s">
        <v>42</v>
      </c>
      <c r="J228" s="19" t="s">
        <v>43</v>
      </c>
      <c r="K228" s="19" t="s">
        <v>48</v>
      </c>
      <c r="L228" s="19"/>
      <c r="M228" s="19" t="s">
        <v>45</v>
      </c>
      <c r="N228" s="19"/>
      <c r="O228" s="19"/>
      <c r="P228" s="19" t="s">
        <v>9</v>
      </c>
      <c r="Q228" s="19" t="s">
        <v>52</v>
      </c>
      <c r="R228" s="19"/>
    </row>
    <row r="229" spans="1:18">
      <c r="A229" s="19" t="str">
        <f>E229&amp;"_"&amp;COUNTIF(E$3:$E229,E229)&amp;"_"&amp;F229</f>
        <v>36_33_Ossature_contreventement_ext</v>
      </c>
      <c r="B229" s="19">
        <v>227</v>
      </c>
      <c r="C229" s="19" t="s">
        <v>123</v>
      </c>
      <c r="D229" s="19" t="s">
        <v>7</v>
      </c>
      <c r="E229" s="19">
        <v>36</v>
      </c>
      <c r="F229" s="19" t="s">
        <v>39</v>
      </c>
      <c r="G229" s="19" t="s">
        <v>40</v>
      </c>
      <c r="H229" s="19" t="s">
        <v>41</v>
      </c>
      <c r="I229" s="19" t="s">
        <v>42</v>
      </c>
      <c r="J229" s="19" t="s">
        <v>43</v>
      </c>
      <c r="K229" s="19" t="s">
        <v>48</v>
      </c>
      <c r="L229" s="19"/>
      <c r="M229" s="19" t="s">
        <v>45</v>
      </c>
      <c r="N229" s="19"/>
      <c r="O229" s="19"/>
      <c r="P229" s="19" t="s">
        <v>9</v>
      </c>
      <c r="Q229" s="19" t="s">
        <v>53</v>
      </c>
      <c r="R229" s="19"/>
    </row>
    <row r="230" spans="1:18">
      <c r="A230" s="19" t="str">
        <f>E230&amp;"_"&amp;COUNTIF(E$3:$E230,E230)&amp;"_"&amp;F230</f>
        <v>34_18_Ossature_contreventement_ext</v>
      </c>
      <c r="B230" s="19">
        <v>228</v>
      </c>
      <c r="C230" s="19" t="s">
        <v>123</v>
      </c>
      <c r="D230" s="19" t="s">
        <v>7</v>
      </c>
      <c r="E230" s="19">
        <v>34</v>
      </c>
      <c r="F230" s="19" t="s">
        <v>39</v>
      </c>
      <c r="G230" s="19" t="s">
        <v>40</v>
      </c>
      <c r="H230" s="19" t="s">
        <v>41</v>
      </c>
      <c r="I230" s="19" t="s">
        <v>42</v>
      </c>
      <c r="J230" s="19" t="s">
        <v>43</v>
      </c>
      <c r="K230" s="19" t="s">
        <v>48</v>
      </c>
      <c r="L230" s="19"/>
      <c r="M230" s="19" t="s">
        <v>45</v>
      </c>
      <c r="N230" s="19"/>
      <c r="O230" s="19"/>
      <c r="P230" s="19" t="s">
        <v>9</v>
      </c>
      <c r="Q230" s="19" t="s">
        <v>54</v>
      </c>
      <c r="R230" s="19"/>
    </row>
    <row r="231" spans="1:18">
      <c r="A231" s="19" t="str">
        <f>E231&amp;"_"&amp;COUNTIF(E$3:$E231,E231)&amp;"_"&amp;F231</f>
        <v>38_29_Ossature_contreventement_ext</v>
      </c>
      <c r="B231" s="19">
        <v>229</v>
      </c>
      <c r="C231" s="19" t="s">
        <v>123</v>
      </c>
      <c r="D231" s="19" t="s">
        <v>7</v>
      </c>
      <c r="E231" s="19">
        <v>38</v>
      </c>
      <c r="F231" s="19" t="s">
        <v>39</v>
      </c>
      <c r="G231" s="19" t="s">
        <v>40</v>
      </c>
      <c r="H231" s="19" t="s">
        <v>41</v>
      </c>
      <c r="I231" s="19" t="s">
        <v>42</v>
      </c>
      <c r="J231" s="19" t="s">
        <v>43</v>
      </c>
      <c r="K231" s="19" t="s">
        <v>48</v>
      </c>
      <c r="L231" s="19"/>
      <c r="M231" s="19" t="s">
        <v>45</v>
      </c>
      <c r="N231" s="19"/>
      <c r="O231" s="19"/>
      <c r="P231" s="19" t="s">
        <v>9</v>
      </c>
      <c r="Q231" s="19" t="s">
        <v>55</v>
      </c>
      <c r="R231" s="19"/>
    </row>
    <row r="232" spans="1:18">
      <c r="A232" s="19" t="str">
        <f>E232&amp;"_"&amp;COUNTIF(E$3:$E232,E232)&amp;"_"&amp;F232</f>
        <v>47_7_Ossature_contreventement_ext</v>
      </c>
      <c r="B232" s="19">
        <v>230</v>
      </c>
      <c r="C232" s="19" t="s">
        <v>123</v>
      </c>
      <c r="D232" s="19" t="s">
        <v>7</v>
      </c>
      <c r="E232" s="19">
        <v>47</v>
      </c>
      <c r="F232" s="19" t="s">
        <v>39</v>
      </c>
      <c r="G232" s="19" t="s">
        <v>40</v>
      </c>
      <c r="H232" s="19" t="s">
        <v>41</v>
      </c>
      <c r="I232" s="19" t="s">
        <v>42</v>
      </c>
      <c r="J232" s="19" t="s">
        <v>43</v>
      </c>
      <c r="K232" s="19" t="s">
        <v>48</v>
      </c>
      <c r="L232" s="19"/>
      <c r="M232" s="19" t="s">
        <v>45</v>
      </c>
      <c r="N232" s="19"/>
      <c r="O232" s="19"/>
      <c r="P232" s="19" t="s">
        <v>9</v>
      </c>
      <c r="Q232" s="19" t="s">
        <v>56</v>
      </c>
      <c r="R232" s="19"/>
    </row>
    <row r="233" spans="1:18">
      <c r="A233" s="19" t="str">
        <f>E233&amp;"_"&amp;COUNTIF(E$3:$E233,E233)&amp;"_"&amp;F233</f>
        <v>48_10_Ossature_contreventement_ext</v>
      </c>
      <c r="B233" s="19">
        <v>231</v>
      </c>
      <c r="C233" s="19" t="s">
        <v>123</v>
      </c>
      <c r="D233" s="19" t="s">
        <v>7</v>
      </c>
      <c r="E233" s="19">
        <v>48</v>
      </c>
      <c r="F233" s="19" t="s">
        <v>39</v>
      </c>
      <c r="G233" s="19" t="s">
        <v>40</v>
      </c>
      <c r="H233" s="19" t="s">
        <v>41</v>
      </c>
      <c r="I233" s="19" t="s">
        <v>42</v>
      </c>
      <c r="J233" s="19" t="s">
        <v>43</v>
      </c>
      <c r="K233" s="19" t="s">
        <v>48</v>
      </c>
      <c r="L233" s="19"/>
      <c r="M233" s="19" t="s">
        <v>45</v>
      </c>
      <c r="N233" s="19"/>
      <c r="O233" s="19"/>
      <c r="P233" s="19" t="s">
        <v>9</v>
      </c>
      <c r="Q233" s="19" t="s">
        <v>57</v>
      </c>
      <c r="R233" s="19"/>
    </row>
    <row r="234" spans="1:18">
      <c r="A234" s="19" t="str">
        <f>E234&amp;"_"&amp;COUNTIF(E$3:$E234,E234)&amp;"_"&amp;F234</f>
        <v>37_32_Ossature_contreventement_ext</v>
      </c>
      <c r="B234" s="19">
        <v>232</v>
      </c>
      <c r="C234" s="19" t="s">
        <v>123</v>
      </c>
      <c r="D234" s="19" t="s">
        <v>7</v>
      </c>
      <c r="E234" s="5">
        <v>37</v>
      </c>
      <c r="F234" s="5" t="s">
        <v>39</v>
      </c>
      <c r="G234" s="5" t="s">
        <v>40</v>
      </c>
      <c r="H234" s="5" t="s">
        <v>41</v>
      </c>
      <c r="I234" s="5" t="s">
        <v>42</v>
      </c>
      <c r="J234" s="5" t="s">
        <v>43</v>
      </c>
      <c r="K234" s="5" t="s">
        <v>48</v>
      </c>
      <c r="L234" s="5"/>
      <c r="M234" s="5" t="s">
        <v>45</v>
      </c>
      <c r="N234" s="5"/>
      <c r="O234" s="5"/>
      <c r="P234" s="5" t="s">
        <v>10</v>
      </c>
      <c r="Q234" s="5" t="s">
        <v>51</v>
      </c>
      <c r="R234" s="5"/>
    </row>
    <row r="235" spans="1:18">
      <c r="A235" s="19" t="str">
        <f>E235&amp;"_"&amp;COUNTIF(E$3:$E235,E235)&amp;"_"&amp;F235</f>
        <v>37_33_Ossature_contreventement_ext</v>
      </c>
      <c r="B235" s="19">
        <v>233</v>
      </c>
      <c r="C235" s="19" t="s">
        <v>123</v>
      </c>
      <c r="D235" s="19" t="s">
        <v>7</v>
      </c>
      <c r="E235" s="5">
        <v>37</v>
      </c>
      <c r="F235" s="5" t="s">
        <v>39</v>
      </c>
      <c r="G235" s="5" t="s">
        <v>40</v>
      </c>
      <c r="H235" s="5" t="s">
        <v>41</v>
      </c>
      <c r="I235" s="5" t="s">
        <v>42</v>
      </c>
      <c r="J235" s="5" t="s">
        <v>43</v>
      </c>
      <c r="K235" s="5" t="s">
        <v>48</v>
      </c>
      <c r="L235" s="5"/>
      <c r="M235" s="5" t="s">
        <v>45</v>
      </c>
      <c r="N235" s="5"/>
      <c r="O235" s="5"/>
      <c r="P235" s="5" t="s">
        <v>10</v>
      </c>
      <c r="Q235" s="5" t="s">
        <v>52</v>
      </c>
      <c r="R235" s="5"/>
    </row>
    <row r="236" spans="1:18">
      <c r="A236" s="19" t="str">
        <f>E236&amp;"_"&amp;COUNTIF(E$3:$E236,E236)&amp;"_"&amp;F236</f>
        <v>38_30_Ossature_contreventement_ext</v>
      </c>
      <c r="B236" s="19">
        <v>234</v>
      </c>
      <c r="C236" s="19" t="s">
        <v>123</v>
      </c>
      <c r="D236" s="19" t="s">
        <v>7</v>
      </c>
      <c r="E236" s="5">
        <v>38</v>
      </c>
      <c r="F236" s="5" t="s">
        <v>39</v>
      </c>
      <c r="G236" s="5" t="s">
        <v>40</v>
      </c>
      <c r="H236" s="5" t="s">
        <v>41</v>
      </c>
      <c r="I236" s="5" t="s">
        <v>42</v>
      </c>
      <c r="J236" s="5" t="s">
        <v>43</v>
      </c>
      <c r="K236" s="5" t="s">
        <v>48</v>
      </c>
      <c r="L236" s="5"/>
      <c r="M236" s="5" t="s">
        <v>45</v>
      </c>
      <c r="N236" s="5"/>
      <c r="O236" s="5"/>
      <c r="P236" s="5" t="s">
        <v>10</v>
      </c>
      <c r="Q236" s="5" t="s">
        <v>53</v>
      </c>
      <c r="R236" s="5"/>
    </row>
    <row r="237" spans="1:18">
      <c r="A237" s="19" t="str">
        <f>E237&amp;"_"&amp;COUNTIF(E$3:$E237,E237)&amp;"_"&amp;F237</f>
        <v>36_34_Ossature_contreventement_ext</v>
      </c>
      <c r="B237" s="19">
        <v>235</v>
      </c>
      <c r="C237" s="19" t="s">
        <v>123</v>
      </c>
      <c r="D237" s="19" t="s">
        <v>7</v>
      </c>
      <c r="E237" s="5">
        <v>36</v>
      </c>
      <c r="F237" s="5" t="s">
        <v>39</v>
      </c>
      <c r="G237" s="5" t="s">
        <v>40</v>
      </c>
      <c r="H237" s="5" t="s">
        <v>41</v>
      </c>
      <c r="I237" s="5" t="s">
        <v>42</v>
      </c>
      <c r="J237" s="5" t="s">
        <v>43</v>
      </c>
      <c r="K237" s="5" t="s">
        <v>48</v>
      </c>
      <c r="L237" s="5"/>
      <c r="M237" s="5" t="s">
        <v>45</v>
      </c>
      <c r="N237" s="5"/>
      <c r="O237" s="5"/>
      <c r="P237" s="5" t="s">
        <v>10</v>
      </c>
      <c r="Q237" s="5" t="s">
        <v>54</v>
      </c>
      <c r="R237" s="5"/>
    </row>
    <row r="238" spans="1:18">
      <c r="A238" s="19" t="str">
        <f>E238&amp;"_"&amp;COUNTIF(E$3:$E238,E238)&amp;"_"&amp;F238</f>
        <v>40_10_Ossature_contreventement_ext</v>
      </c>
      <c r="B238" s="19">
        <v>236</v>
      </c>
      <c r="C238" s="19" t="s">
        <v>123</v>
      </c>
      <c r="D238" s="19" t="s">
        <v>7</v>
      </c>
      <c r="E238" s="5">
        <v>40</v>
      </c>
      <c r="F238" s="5" t="s">
        <v>39</v>
      </c>
      <c r="G238" s="5" t="s">
        <v>40</v>
      </c>
      <c r="H238" s="5" t="s">
        <v>41</v>
      </c>
      <c r="I238" s="5" t="s">
        <v>42</v>
      </c>
      <c r="J238" s="5" t="s">
        <v>43</v>
      </c>
      <c r="K238" s="5" t="s">
        <v>48</v>
      </c>
      <c r="L238" s="5"/>
      <c r="M238" s="5" t="s">
        <v>45</v>
      </c>
      <c r="N238" s="5"/>
      <c r="O238" s="5"/>
      <c r="P238" s="5" t="s">
        <v>10</v>
      </c>
      <c r="Q238" s="5" t="s">
        <v>55</v>
      </c>
      <c r="R238" s="5"/>
    </row>
    <row r="239" spans="1:18">
      <c r="A239" s="19" t="str">
        <f>E239&amp;"_"&amp;COUNTIF(E$3:$E239,E239)&amp;"_"&amp;F239</f>
        <v>49_26_Ossature_contreventement_ext</v>
      </c>
      <c r="B239" s="19">
        <v>237</v>
      </c>
      <c r="C239" s="19" t="s">
        <v>123</v>
      </c>
      <c r="D239" s="19" t="s">
        <v>7</v>
      </c>
      <c r="E239" s="5">
        <v>49</v>
      </c>
      <c r="F239" s="5" t="s">
        <v>39</v>
      </c>
      <c r="G239" s="5" t="s">
        <v>40</v>
      </c>
      <c r="H239" s="5" t="s">
        <v>41</v>
      </c>
      <c r="I239" s="5" t="s">
        <v>42</v>
      </c>
      <c r="J239" s="5" t="s">
        <v>43</v>
      </c>
      <c r="K239" s="5" t="s">
        <v>48</v>
      </c>
      <c r="L239" s="5"/>
      <c r="M239" s="5" t="s">
        <v>45</v>
      </c>
      <c r="N239" s="5"/>
      <c r="O239" s="5"/>
      <c r="P239" s="5" t="s">
        <v>10</v>
      </c>
      <c r="Q239" s="5" t="s">
        <v>56</v>
      </c>
      <c r="R239" s="5"/>
    </row>
    <row r="240" spans="1:18">
      <c r="A240" s="19" t="str">
        <f>E240&amp;"_"&amp;COUNTIF(E$3:$E240,E240)&amp;"_"&amp;F240</f>
        <v>49_27_Ossature_contreventement_ext</v>
      </c>
      <c r="B240" s="19">
        <v>238</v>
      </c>
      <c r="C240" s="19" t="s">
        <v>123</v>
      </c>
      <c r="D240" s="19" t="s">
        <v>7</v>
      </c>
      <c r="E240" s="5">
        <v>49</v>
      </c>
      <c r="F240" s="5" t="s">
        <v>39</v>
      </c>
      <c r="G240" s="5" t="s">
        <v>40</v>
      </c>
      <c r="H240" s="5" t="s">
        <v>41</v>
      </c>
      <c r="I240" s="5" t="s">
        <v>42</v>
      </c>
      <c r="J240" s="5" t="s">
        <v>43</v>
      </c>
      <c r="K240" s="5" t="s">
        <v>48</v>
      </c>
      <c r="L240" s="5"/>
      <c r="M240" s="5" t="s">
        <v>45</v>
      </c>
      <c r="N240" s="5"/>
      <c r="O240" s="5"/>
      <c r="P240" s="5" t="s">
        <v>10</v>
      </c>
      <c r="Q240" s="5" t="s">
        <v>57</v>
      </c>
      <c r="R240" s="5"/>
    </row>
    <row r="241" spans="1:18">
      <c r="A241" s="19" t="str">
        <f>E241&amp;"_"&amp;COUNTIF(E$3:$E241,E241)&amp;"_"&amp;F241</f>
        <v>36_35_Ossature_contreventement_ext</v>
      </c>
      <c r="B241" s="19">
        <v>239</v>
      </c>
      <c r="C241" s="19" t="s">
        <v>123</v>
      </c>
      <c r="D241" s="19" t="s">
        <v>7</v>
      </c>
      <c r="E241" s="19">
        <v>36</v>
      </c>
      <c r="F241" s="19" t="s">
        <v>39</v>
      </c>
      <c r="G241" s="19" t="s">
        <v>40</v>
      </c>
      <c r="H241" s="19" t="s">
        <v>41</v>
      </c>
      <c r="I241" s="19" t="s">
        <v>42</v>
      </c>
      <c r="J241" s="19" t="s">
        <v>43</v>
      </c>
      <c r="K241" s="19" t="s">
        <v>48</v>
      </c>
      <c r="L241" s="19"/>
      <c r="M241" s="19" t="s">
        <v>45</v>
      </c>
      <c r="N241" s="19"/>
      <c r="O241" s="19"/>
      <c r="P241" s="19" t="s">
        <v>11</v>
      </c>
      <c r="Q241" s="19" t="s">
        <v>51</v>
      </c>
      <c r="R241" s="19"/>
    </row>
    <row r="242" spans="1:18">
      <c r="A242" s="19" t="str">
        <f>E242&amp;"_"&amp;COUNTIF(E$3:$E242,E242)&amp;"_"&amp;F242</f>
        <v>36_36_Ossature_contreventement_ext</v>
      </c>
      <c r="B242" s="19">
        <v>240</v>
      </c>
      <c r="C242" s="19" t="s">
        <v>123</v>
      </c>
      <c r="D242" s="19" t="s">
        <v>7</v>
      </c>
      <c r="E242" s="19">
        <v>36</v>
      </c>
      <c r="F242" s="19" t="s">
        <v>39</v>
      </c>
      <c r="G242" s="19" t="s">
        <v>40</v>
      </c>
      <c r="H242" s="19" t="s">
        <v>41</v>
      </c>
      <c r="I242" s="19" t="s">
        <v>42</v>
      </c>
      <c r="J242" s="19" t="s">
        <v>43</v>
      </c>
      <c r="K242" s="19" t="s">
        <v>48</v>
      </c>
      <c r="L242" s="19"/>
      <c r="M242" s="19" t="s">
        <v>45</v>
      </c>
      <c r="N242" s="19"/>
      <c r="O242" s="19"/>
      <c r="P242" s="19" t="s">
        <v>11</v>
      </c>
      <c r="Q242" s="19" t="s">
        <v>52</v>
      </c>
      <c r="R242" s="19"/>
    </row>
    <row r="243" spans="1:18">
      <c r="A243" s="19" t="str">
        <f>E243&amp;"_"&amp;COUNTIF(E$3:$E243,E243)&amp;"_"&amp;F243</f>
        <v>37_34_Ossature_contreventement_ext</v>
      </c>
      <c r="B243" s="19">
        <v>241</v>
      </c>
      <c r="C243" s="19" t="s">
        <v>123</v>
      </c>
      <c r="D243" s="19" t="s">
        <v>7</v>
      </c>
      <c r="E243" s="19">
        <v>37</v>
      </c>
      <c r="F243" s="19" t="s">
        <v>39</v>
      </c>
      <c r="G243" s="19" t="s">
        <v>40</v>
      </c>
      <c r="H243" s="19" t="s">
        <v>41</v>
      </c>
      <c r="I243" s="19" t="s">
        <v>42</v>
      </c>
      <c r="J243" s="19" t="s">
        <v>43</v>
      </c>
      <c r="K243" s="19" t="s">
        <v>48</v>
      </c>
      <c r="L243" s="19"/>
      <c r="M243" s="19" t="s">
        <v>45</v>
      </c>
      <c r="N243" s="19"/>
      <c r="O243" s="19"/>
      <c r="P243" s="19" t="s">
        <v>11</v>
      </c>
      <c r="Q243" s="19" t="s">
        <v>53</v>
      </c>
      <c r="R243" s="19"/>
    </row>
    <row r="244" spans="1:18">
      <c r="A244" s="19" t="str">
        <f>E244&amp;"_"&amp;COUNTIF(E$3:$E244,E244)&amp;"_"&amp;F244</f>
        <v>35_30_Ossature_contreventement_ext</v>
      </c>
      <c r="B244" s="19">
        <v>242</v>
      </c>
      <c r="C244" s="19" t="s">
        <v>123</v>
      </c>
      <c r="D244" s="19" t="s">
        <v>7</v>
      </c>
      <c r="E244" s="19">
        <v>35</v>
      </c>
      <c r="F244" s="19" t="s">
        <v>39</v>
      </c>
      <c r="G244" s="19" t="s">
        <v>40</v>
      </c>
      <c r="H244" s="19" t="s">
        <v>41</v>
      </c>
      <c r="I244" s="19" t="s">
        <v>42</v>
      </c>
      <c r="J244" s="19" t="s">
        <v>43</v>
      </c>
      <c r="K244" s="19" t="s">
        <v>48</v>
      </c>
      <c r="L244" s="19"/>
      <c r="M244" s="19" t="s">
        <v>45</v>
      </c>
      <c r="N244" s="19"/>
      <c r="O244" s="19"/>
      <c r="P244" s="19" t="s">
        <v>11</v>
      </c>
      <c r="Q244" s="19" t="s">
        <v>54</v>
      </c>
      <c r="R244" s="19"/>
    </row>
    <row r="245" spans="1:18">
      <c r="A245" s="19" t="str">
        <f>E245&amp;"_"&amp;COUNTIF(E$3:$E245,E245)&amp;"_"&amp;F245</f>
        <v>39_20_Ossature_contreventement_ext</v>
      </c>
      <c r="B245" s="19">
        <v>243</v>
      </c>
      <c r="C245" s="19" t="s">
        <v>123</v>
      </c>
      <c r="D245" s="19" t="s">
        <v>7</v>
      </c>
      <c r="E245" s="19">
        <v>39</v>
      </c>
      <c r="F245" s="19" t="s">
        <v>39</v>
      </c>
      <c r="G245" s="19" t="s">
        <v>40</v>
      </c>
      <c r="H245" s="19" t="s">
        <v>41</v>
      </c>
      <c r="I245" s="19" t="s">
        <v>42</v>
      </c>
      <c r="J245" s="19" t="s">
        <v>43</v>
      </c>
      <c r="K245" s="19" t="s">
        <v>48</v>
      </c>
      <c r="L245" s="19"/>
      <c r="M245" s="19" t="s">
        <v>45</v>
      </c>
      <c r="N245" s="19"/>
      <c r="O245" s="19"/>
      <c r="P245" s="19" t="s">
        <v>11</v>
      </c>
      <c r="Q245" s="19" t="s">
        <v>55</v>
      </c>
      <c r="R245" s="19"/>
    </row>
    <row r="246" spans="1:18">
      <c r="A246" s="19" t="str">
        <f>E246&amp;"_"&amp;COUNTIF(E$3:$E246,E246)&amp;"_"&amp;F246</f>
        <v>48_11_Ossature_contreventement_ext</v>
      </c>
      <c r="B246" s="19">
        <v>244</v>
      </c>
      <c r="C246" s="19" t="s">
        <v>123</v>
      </c>
      <c r="D246" s="19" t="s">
        <v>7</v>
      </c>
      <c r="E246" s="19">
        <v>48</v>
      </c>
      <c r="F246" s="19" t="s">
        <v>39</v>
      </c>
      <c r="G246" s="19" t="s">
        <v>40</v>
      </c>
      <c r="H246" s="19" t="s">
        <v>41</v>
      </c>
      <c r="I246" s="19" t="s">
        <v>42</v>
      </c>
      <c r="J246" s="19" t="s">
        <v>43</v>
      </c>
      <c r="K246" s="19" t="s">
        <v>48</v>
      </c>
      <c r="L246" s="19"/>
      <c r="M246" s="19" t="s">
        <v>45</v>
      </c>
      <c r="N246" s="19"/>
      <c r="O246" s="19"/>
      <c r="P246" s="19" t="s">
        <v>11</v>
      </c>
      <c r="Q246" s="19" t="s">
        <v>56</v>
      </c>
      <c r="R246" s="19"/>
    </row>
    <row r="247" spans="1:18">
      <c r="A247" s="19" t="str">
        <f>E247&amp;"_"&amp;COUNTIF(E$3:$E247,E247)&amp;"_"&amp;F247</f>
        <v>49_28_Ossature_contreventement_ext</v>
      </c>
      <c r="B247" s="19">
        <v>245</v>
      </c>
      <c r="C247" s="19" t="s">
        <v>123</v>
      </c>
      <c r="D247" s="19" t="s">
        <v>7</v>
      </c>
      <c r="E247" s="19">
        <v>49</v>
      </c>
      <c r="F247" s="19" t="s">
        <v>39</v>
      </c>
      <c r="G247" s="19" t="s">
        <v>40</v>
      </c>
      <c r="H247" s="19" t="s">
        <v>41</v>
      </c>
      <c r="I247" s="19" t="s">
        <v>42</v>
      </c>
      <c r="J247" s="19" t="s">
        <v>43</v>
      </c>
      <c r="K247" s="19" t="s">
        <v>48</v>
      </c>
      <c r="L247" s="19"/>
      <c r="M247" s="19" t="s">
        <v>45</v>
      </c>
      <c r="N247" s="19"/>
      <c r="O247" s="19"/>
      <c r="P247" s="19" t="s">
        <v>11</v>
      </c>
      <c r="Q247" s="19" t="s">
        <v>57</v>
      </c>
      <c r="R247" s="19"/>
    </row>
    <row r="248" spans="1:18">
      <c r="A248" s="19" t="str">
        <f>E248&amp;"_"&amp;COUNTIF(E$3:$E248,E248)&amp;"_"&amp;F248</f>
        <v>37_35_Ossature_contreventement_ext</v>
      </c>
      <c r="B248" s="19">
        <v>246</v>
      </c>
      <c r="C248" s="19" t="s">
        <v>123</v>
      </c>
      <c r="D248" s="19" t="s">
        <v>7</v>
      </c>
      <c r="E248" s="5">
        <v>37</v>
      </c>
      <c r="F248" s="5" t="s">
        <v>39</v>
      </c>
      <c r="G248" s="5" t="s">
        <v>40</v>
      </c>
      <c r="H248" s="5" t="s">
        <v>41</v>
      </c>
      <c r="I248" s="5" t="s">
        <v>42</v>
      </c>
      <c r="J248" s="5" t="s">
        <v>43</v>
      </c>
      <c r="K248" s="5" t="s">
        <v>48</v>
      </c>
      <c r="L248" s="5"/>
      <c r="M248" s="5" t="s">
        <v>45</v>
      </c>
      <c r="N248" s="5"/>
      <c r="O248" s="5"/>
      <c r="P248" s="5" t="s">
        <v>12</v>
      </c>
      <c r="Q248" s="5" t="s">
        <v>51</v>
      </c>
      <c r="R248" s="5"/>
    </row>
    <row r="249" spans="1:18">
      <c r="A249" s="19" t="str">
        <f>E249&amp;"_"&amp;COUNTIF(E$3:$E249,E249)&amp;"_"&amp;F249</f>
        <v>37_36_Ossature_contreventement_ext</v>
      </c>
      <c r="B249" s="19">
        <v>247</v>
      </c>
      <c r="C249" s="19" t="s">
        <v>123</v>
      </c>
      <c r="D249" s="19" t="s">
        <v>7</v>
      </c>
      <c r="E249" s="5">
        <v>37</v>
      </c>
      <c r="F249" s="5" t="s">
        <v>39</v>
      </c>
      <c r="G249" s="5" t="s">
        <v>40</v>
      </c>
      <c r="H249" s="5" t="s">
        <v>41</v>
      </c>
      <c r="I249" s="5" t="s">
        <v>42</v>
      </c>
      <c r="J249" s="5" t="s">
        <v>43</v>
      </c>
      <c r="K249" s="5" t="s">
        <v>48</v>
      </c>
      <c r="L249" s="5"/>
      <c r="M249" s="5" t="s">
        <v>45</v>
      </c>
      <c r="N249" s="5"/>
      <c r="O249" s="5"/>
      <c r="P249" s="5" t="s">
        <v>12</v>
      </c>
      <c r="Q249" s="5" t="s">
        <v>52</v>
      </c>
      <c r="R249" s="5"/>
    </row>
    <row r="250" spans="1:18">
      <c r="A250" s="19" t="str">
        <f>E250&amp;"_"&amp;COUNTIF(E$3:$E250,E250)&amp;"_"&amp;F250</f>
        <v>38_31_Ossature_contreventement_ext</v>
      </c>
      <c r="B250" s="19">
        <v>248</v>
      </c>
      <c r="C250" s="19" t="s">
        <v>123</v>
      </c>
      <c r="D250" s="19" t="s">
        <v>7</v>
      </c>
      <c r="E250" s="5">
        <v>38</v>
      </c>
      <c r="F250" s="5" t="s">
        <v>39</v>
      </c>
      <c r="G250" s="5" t="s">
        <v>40</v>
      </c>
      <c r="H250" s="5" t="s">
        <v>41</v>
      </c>
      <c r="I250" s="5" t="s">
        <v>42</v>
      </c>
      <c r="J250" s="5" t="s">
        <v>43</v>
      </c>
      <c r="K250" s="5" t="s">
        <v>48</v>
      </c>
      <c r="L250" s="5"/>
      <c r="M250" s="5" t="s">
        <v>45</v>
      </c>
      <c r="N250" s="5"/>
      <c r="O250" s="5"/>
      <c r="P250" s="5" t="s">
        <v>12</v>
      </c>
      <c r="Q250" s="5" t="s">
        <v>53</v>
      </c>
      <c r="R250" s="5"/>
    </row>
    <row r="251" spans="1:18">
      <c r="A251" s="19" t="str">
        <f>E251&amp;"_"&amp;COUNTIF(E$3:$E251,E251)&amp;"_"&amp;F251</f>
        <v>36_37_Ossature_contreventement_ext</v>
      </c>
      <c r="B251" s="19">
        <v>249</v>
      </c>
      <c r="C251" s="19" t="s">
        <v>123</v>
      </c>
      <c r="D251" s="19" t="s">
        <v>7</v>
      </c>
      <c r="E251" s="5">
        <v>36</v>
      </c>
      <c r="F251" s="5" t="s">
        <v>39</v>
      </c>
      <c r="G251" s="5" t="s">
        <v>40</v>
      </c>
      <c r="H251" s="5" t="s">
        <v>41</v>
      </c>
      <c r="I251" s="5" t="s">
        <v>42</v>
      </c>
      <c r="J251" s="5" t="s">
        <v>43</v>
      </c>
      <c r="K251" s="5" t="s">
        <v>48</v>
      </c>
      <c r="L251" s="5"/>
      <c r="M251" s="5" t="s">
        <v>45</v>
      </c>
      <c r="N251" s="5"/>
      <c r="O251" s="5"/>
      <c r="P251" s="5" t="s">
        <v>12</v>
      </c>
      <c r="Q251" s="5" t="s">
        <v>54</v>
      </c>
      <c r="R251" s="5"/>
    </row>
    <row r="252" spans="1:18">
      <c r="A252" s="19" t="str">
        <f>E252&amp;"_"&amp;COUNTIF(E$3:$E252,E252)&amp;"_"&amp;F252</f>
        <v>40_11_Ossature_contreventement_ext</v>
      </c>
      <c r="B252" s="19">
        <v>250</v>
      </c>
      <c r="C252" s="19" t="s">
        <v>123</v>
      </c>
      <c r="D252" s="19" t="s">
        <v>7</v>
      </c>
      <c r="E252" s="5">
        <v>40</v>
      </c>
      <c r="F252" s="5" t="s">
        <v>39</v>
      </c>
      <c r="G252" s="5" t="s">
        <v>40</v>
      </c>
      <c r="H252" s="5" t="s">
        <v>41</v>
      </c>
      <c r="I252" s="5" t="s">
        <v>42</v>
      </c>
      <c r="J252" s="5" t="s">
        <v>43</v>
      </c>
      <c r="K252" s="5" t="s">
        <v>48</v>
      </c>
      <c r="L252" s="5"/>
      <c r="M252" s="5" t="s">
        <v>45</v>
      </c>
      <c r="N252" s="5"/>
      <c r="O252" s="5"/>
      <c r="P252" s="5" t="s">
        <v>12</v>
      </c>
      <c r="Q252" s="5" t="s">
        <v>55</v>
      </c>
      <c r="R252" s="5"/>
    </row>
    <row r="253" spans="1:18">
      <c r="A253" s="19" t="str">
        <f>E253&amp;"_"&amp;COUNTIF(E$3:$E253,E253)&amp;"_"&amp;F253</f>
        <v>49_29_Ossature_contreventement_ext</v>
      </c>
      <c r="B253" s="19">
        <v>251</v>
      </c>
      <c r="C253" s="19" t="s">
        <v>123</v>
      </c>
      <c r="D253" s="19" t="s">
        <v>7</v>
      </c>
      <c r="E253" s="5">
        <v>49</v>
      </c>
      <c r="F253" s="5" t="s">
        <v>39</v>
      </c>
      <c r="G253" s="5" t="s">
        <v>40</v>
      </c>
      <c r="H253" s="5" t="s">
        <v>41</v>
      </c>
      <c r="I253" s="5" t="s">
        <v>42</v>
      </c>
      <c r="J253" s="5" t="s">
        <v>43</v>
      </c>
      <c r="K253" s="5" t="s">
        <v>48</v>
      </c>
      <c r="L253" s="5"/>
      <c r="M253" s="5" t="s">
        <v>45</v>
      </c>
      <c r="N253" s="5"/>
      <c r="O253" s="5"/>
      <c r="P253" s="5" t="s">
        <v>12</v>
      </c>
      <c r="Q253" s="5" t="s">
        <v>56</v>
      </c>
      <c r="R253" s="5"/>
    </row>
    <row r="254" spans="1:18">
      <c r="A254" s="19" t="str">
        <f>E254&amp;"_"&amp;COUNTIF(E$3:$E254,E254)&amp;"_"&amp;F254</f>
        <v>49_30_Ossature_contreventement_ext</v>
      </c>
      <c r="B254" s="19">
        <v>252</v>
      </c>
      <c r="C254" s="19" t="s">
        <v>123</v>
      </c>
      <c r="D254" s="19" t="s">
        <v>7</v>
      </c>
      <c r="E254" s="5">
        <v>49</v>
      </c>
      <c r="F254" s="5" t="s">
        <v>39</v>
      </c>
      <c r="G254" s="5" t="s">
        <v>40</v>
      </c>
      <c r="H254" s="5" t="s">
        <v>41</v>
      </c>
      <c r="I254" s="5" t="s">
        <v>42</v>
      </c>
      <c r="J254" s="5" t="s">
        <v>43</v>
      </c>
      <c r="K254" s="5" t="s">
        <v>48</v>
      </c>
      <c r="L254" s="5"/>
      <c r="M254" s="5" t="s">
        <v>45</v>
      </c>
      <c r="N254" s="5"/>
      <c r="O254" s="5"/>
      <c r="P254" s="5" t="s">
        <v>12</v>
      </c>
      <c r="Q254" s="5" t="s">
        <v>57</v>
      </c>
      <c r="R254" s="5"/>
    </row>
    <row r="255" spans="1:18">
      <c r="A255" s="19" t="str">
        <f>E255&amp;"_"&amp;COUNTIF(E$3:$E255,E255)&amp;"_"&amp;F255</f>
        <v>39_21_Ossature_contreventement_ext</v>
      </c>
      <c r="B255" s="19">
        <v>253</v>
      </c>
      <c r="C255" s="19" t="s">
        <v>123</v>
      </c>
      <c r="D255" s="19" t="s">
        <v>7</v>
      </c>
      <c r="E255" s="19">
        <v>39</v>
      </c>
      <c r="F255" s="19" t="s">
        <v>39</v>
      </c>
      <c r="G255" s="19" t="s">
        <v>40</v>
      </c>
      <c r="H255" s="19" t="s">
        <v>41</v>
      </c>
      <c r="I255" s="19" t="s">
        <v>42</v>
      </c>
      <c r="J255" s="19" t="s">
        <v>43</v>
      </c>
      <c r="K255" s="19" t="s">
        <v>48</v>
      </c>
      <c r="L255" s="19"/>
      <c r="M255" s="19" t="s">
        <v>45</v>
      </c>
      <c r="N255" s="19"/>
      <c r="O255" s="19"/>
      <c r="P255" s="19" t="s">
        <v>13</v>
      </c>
      <c r="Q255" s="19" t="s">
        <v>51</v>
      </c>
      <c r="R255" s="19"/>
    </row>
    <row r="256" spans="1:18">
      <c r="A256" s="19" t="str">
        <f>E256&amp;"_"&amp;COUNTIF(E$3:$E256,E256)&amp;"_"&amp;F256</f>
        <v>39_22_Ossature_contreventement_ext</v>
      </c>
      <c r="B256" s="19">
        <v>254</v>
      </c>
      <c r="C256" s="19" t="s">
        <v>123</v>
      </c>
      <c r="D256" s="19" t="s">
        <v>7</v>
      </c>
      <c r="E256" s="19">
        <v>39</v>
      </c>
      <c r="F256" s="19" t="s">
        <v>39</v>
      </c>
      <c r="G256" s="19" t="s">
        <v>40</v>
      </c>
      <c r="H256" s="19" t="s">
        <v>41</v>
      </c>
      <c r="I256" s="19" t="s">
        <v>42</v>
      </c>
      <c r="J256" s="19" t="s">
        <v>43</v>
      </c>
      <c r="K256" s="19" t="s">
        <v>48</v>
      </c>
      <c r="L256" s="19"/>
      <c r="M256" s="19" t="s">
        <v>45</v>
      </c>
      <c r="N256" s="19"/>
      <c r="O256" s="19"/>
      <c r="P256" s="19" t="s">
        <v>13</v>
      </c>
      <c r="Q256" s="19" t="s">
        <v>52</v>
      </c>
      <c r="R256" s="19"/>
    </row>
    <row r="257" spans="1:18">
      <c r="A257" s="19" t="str">
        <f>E257&amp;"_"&amp;COUNTIF(E$3:$E257,E257)&amp;"_"&amp;F257</f>
        <v>40_12_Ossature_contreventement_ext</v>
      </c>
      <c r="B257" s="19">
        <v>255</v>
      </c>
      <c r="C257" s="19" t="s">
        <v>123</v>
      </c>
      <c r="D257" s="19" t="s">
        <v>7</v>
      </c>
      <c r="E257" s="19">
        <v>40</v>
      </c>
      <c r="F257" s="19" t="s">
        <v>39</v>
      </c>
      <c r="G257" s="19" t="s">
        <v>40</v>
      </c>
      <c r="H257" s="19" t="s">
        <v>41</v>
      </c>
      <c r="I257" s="19" t="s">
        <v>42</v>
      </c>
      <c r="J257" s="19" t="s">
        <v>43</v>
      </c>
      <c r="K257" s="19" t="s">
        <v>48</v>
      </c>
      <c r="L257" s="19"/>
      <c r="M257" s="19" t="s">
        <v>45</v>
      </c>
      <c r="N257" s="19"/>
      <c r="O257" s="19"/>
      <c r="P257" s="19" t="s">
        <v>13</v>
      </c>
      <c r="Q257" s="19" t="s">
        <v>53</v>
      </c>
      <c r="R257" s="19"/>
    </row>
    <row r="258" spans="1:18">
      <c r="A258" s="19" t="str">
        <f>E258&amp;"_"&amp;COUNTIF(E$3:$E258,E258)&amp;"_"&amp;F258</f>
        <v>38_32_Ossature_contreventement_ext</v>
      </c>
      <c r="B258" s="19">
        <v>256</v>
      </c>
      <c r="C258" s="19" t="s">
        <v>123</v>
      </c>
      <c r="D258" s="19" t="s">
        <v>7</v>
      </c>
      <c r="E258" s="19">
        <v>38</v>
      </c>
      <c r="F258" s="19" t="s">
        <v>39</v>
      </c>
      <c r="G258" s="19" t="s">
        <v>40</v>
      </c>
      <c r="H258" s="19" t="s">
        <v>41</v>
      </c>
      <c r="I258" s="19" t="s">
        <v>42</v>
      </c>
      <c r="J258" s="19" t="s">
        <v>43</v>
      </c>
      <c r="K258" s="19" t="s">
        <v>48</v>
      </c>
      <c r="L258" s="19"/>
      <c r="M258" s="19" t="s">
        <v>45</v>
      </c>
      <c r="N258" s="19"/>
      <c r="O258" s="19"/>
      <c r="P258" s="19" t="s">
        <v>13</v>
      </c>
      <c r="Q258" s="19" t="s">
        <v>54</v>
      </c>
      <c r="R258" s="19"/>
    </row>
    <row r="259" spans="1:18">
      <c r="A259" s="19" t="str">
        <f>E259&amp;"_"&amp;COUNTIF(E$3:$E259,E259)&amp;"_"&amp;F259</f>
        <v>42_3_Ossature_contreventement_ext</v>
      </c>
      <c r="B259" s="19">
        <v>257</v>
      </c>
      <c r="C259" s="19" t="s">
        <v>123</v>
      </c>
      <c r="D259" s="19" t="s">
        <v>7</v>
      </c>
      <c r="E259" s="19">
        <v>42</v>
      </c>
      <c r="F259" s="19" t="s">
        <v>39</v>
      </c>
      <c r="G259" s="19" t="s">
        <v>40</v>
      </c>
      <c r="H259" s="19" t="s">
        <v>41</v>
      </c>
      <c r="I259" s="19" t="s">
        <v>42</v>
      </c>
      <c r="J259" s="19" t="s">
        <v>43</v>
      </c>
      <c r="K259" s="19" t="s">
        <v>48</v>
      </c>
      <c r="L259" s="19"/>
      <c r="M259" s="19" t="s">
        <v>45</v>
      </c>
      <c r="N259" s="19"/>
      <c r="O259" s="19"/>
      <c r="P259" s="19" t="s">
        <v>13</v>
      </c>
      <c r="Q259" s="19" t="s">
        <v>55</v>
      </c>
      <c r="R259" s="19"/>
    </row>
    <row r="260" spans="1:18">
      <c r="A260" s="19" t="str">
        <f>E260&amp;"_"&amp;COUNTIF(E$3:$E260,E260)&amp;"_"&amp;F260</f>
        <v>49_31_Ossature_contreventement_ext</v>
      </c>
      <c r="B260" s="19">
        <v>258</v>
      </c>
      <c r="C260" s="19" t="s">
        <v>123</v>
      </c>
      <c r="D260" s="19" t="s">
        <v>7</v>
      </c>
      <c r="E260" s="19">
        <v>49</v>
      </c>
      <c r="F260" s="19" t="s">
        <v>39</v>
      </c>
      <c r="G260" s="19" t="s">
        <v>40</v>
      </c>
      <c r="H260" s="19" t="s">
        <v>41</v>
      </c>
      <c r="I260" s="19" t="s">
        <v>42</v>
      </c>
      <c r="J260" s="19" t="s">
        <v>43</v>
      </c>
      <c r="K260" s="19" t="s">
        <v>48</v>
      </c>
      <c r="L260" s="19"/>
      <c r="M260" s="19" t="s">
        <v>45</v>
      </c>
      <c r="N260" s="19"/>
      <c r="O260" s="19"/>
      <c r="P260" s="19" t="s">
        <v>13</v>
      </c>
      <c r="Q260" s="19" t="s">
        <v>56</v>
      </c>
      <c r="R260" s="19"/>
    </row>
    <row r="261" spans="1:18">
      <c r="A261" s="19" t="str">
        <f>E261&amp;"_"&amp;COUNTIF(E$3:$E261,E261)&amp;"_"&amp;F261</f>
        <v>49_32_Ossature_contreventement_ext</v>
      </c>
      <c r="B261" s="19">
        <v>259</v>
      </c>
      <c r="C261" s="19" t="s">
        <v>123</v>
      </c>
      <c r="D261" s="19" t="s">
        <v>7</v>
      </c>
      <c r="E261" s="19">
        <v>49</v>
      </c>
      <c r="F261" s="19" t="s">
        <v>39</v>
      </c>
      <c r="G261" s="19" t="s">
        <v>40</v>
      </c>
      <c r="H261" s="19" t="s">
        <v>41</v>
      </c>
      <c r="I261" s="19" t="s">
        <v>42</v>
      </c>
      <c r="J261" s="19" t="s">
        <v>43</v>
      </c>
      <c r="K261" s="19" t="s">
        <v>48</v>
      </c>
      <c r="L261" s="19"/>
      <c r="M261" s="19" t="s">
        <v>45</v>
      </c>
      <c r="N261" s="19"/>
      <c r="O261" s="19"/>
      <c r="P261" s="19" t="s">
        <v>13</v>
      </c>
      <c r="Q261" s="19" t="s">
        <v>57</v>
      </c>
      <c r="R261" s="19"/>
    </row>
    <row r="262" spans="1:18">
      <c r="A262" s="19" t="str">
        <f>E262&amp;"_"&amp;COUNTIF(E$3:$E262,E262)&amp;"_"&amp;F262</f>
        <v>40_13_Ossature_contreventement_ext</v>
      </c>
      <c r="B262" s="19">
        <v>260</v>
      </c>
      <c r="C262" s="19" t="s">
        <v>123</v>
      </c>
      <c r="D262" s="19" t="s">
        <v>7</v>
      </c>
      <c r="E262" s="5">
        <v>40</v>
      </c>
      <c r="F262" s="5" t="s">
        <v>39</v>
      </c>
      <c r="G262" s="5" t="s">
        <v>40</v>
      </c>
      <c r="H262" s="5" t="s">
        <v>41</v>
      </c>
      <c r="I262" s="5" t="s">
        <v>42</v>
      </c>
      <c r="J262" s="5" t="s">
        <v>43</v>
      </c>
      <c r="K262" s="5" t="s">
        <v>48</v>
      </c>
      <c r="L262" s="5"/>
      <c r="M262" s="5" t="s">
        <v>45</v>
      </c>
      <c r="N262" s="5"/>
      <c r="O262" s="5"/>
      <c r="P262" s="5" t="s">
        <v>14</v>
      </c>
      <c r="Q262" s="5" t="s">
        <v>51</v>
      </c>
      <c r="R262" s="5"/>
    </row>
    <row r="263" spans="1:18">
      <c r="A263" s="19" t="str">
        <f>E263&amp;"_"&amp;COUNTIF(E$3:$E263,E263)&amp;"_"&amp;F263</f>
        <v>40_14_Ossature_contreventement_ext</v>
      </c>
      <c r="B263" s="19">
        <v>261</v>
      </c>
      <c r="C263" s="19" t="s">
        <v>123</v>
      </c>
      <c r="D263" s="19" t="s">
        <v>7</v>
      </c>
      <c r="E263" s="5">
        <v>40</v>
      </c>
      <c r="F263" s="5" t="s">
        <v>39</v>
      </c>
      <c r="G263" s="5" t="s">
        <v>40</v>
      </c>
      <c r="H263" s="5" t="s">
        <v>41</v>
      </c>
      <c r="I263" s="5" t="s">
        <v>42</v>
      </c>
      <c r="J263" s="5" t="s">
        <v>43</v>
      </c>
      <c r="K263" s="5" t="s">
        <v>48</v>
      </c>
      <c r="L263" s="5"/>
      <c r="M263" s="5" t="s">
        <v>45</v>
      </c>
      <c r="N263" s="5"/>
      <c r="O263" s="5"/>
      <c r="P263" s="5" t="s">
        <v>14</v>
      </c>
      <c r="Q263" s="5" t="s">
        <v>52</v>
      </c>
      <c r="R263" s="5"/>
    </row>
    <row r="264" spans="1:18">
      <c r="A264" s="19" t="str">
        <f>E264&amp;"_"&amp;COUNTIF(E$3:$E264,E264)&amp;"_"&amp;F264</f>
        <v>41_6_Ossature_contreventement_ext</v>
      </c>
      <c r="B264" s="19">
        <v>262</v>
      </c>
      <c r="C264" s="19" t="s">
        <v>123</v>
      </c>
      <c r="D264" s="19" t="s">
        <v>7</v>
      </c>
      <c r="E264" s="5">
        <v>41</v>
      </c>
      <c r="F264" s="5" t="s">
        <v>39</v>
      </c>
      <c r="G264" s="5" t="s">
        <v>40</v>
      </c>
      <c r="H264" s="5" t="s">
        <v>41</v>
      </c>
      <c r="I264" s="5" t="s">
        <v>42</v>
      </c>
      <c r="J264" s="5" t="s">
        <v>43</v>
      </c>
      <c r="K264" s="5" t="s">
        <v>48</v>
      </c>
      <c r="L264" s="5"/>
      <c r="M264" s="5" t="s">
        <v>45</v>
      </c>
      <c r="N264" s="5"/>
      <c r="O264" s="5"/>
      <c r="P264" s="5" t="s">
        <v>14</v>
      </c>
      <c r="Q264" s="5" t="s">
        <v>53</v>
      </c>
      <c r="R264" s="5"/>
    </row>
    <row r="265" spans="1:18">
      <c r="A265" s="19" t="str">
        <f>E265&amp;"_"&amp;COUNTIF(E$3:$E265,E265)&amp;"_"&amp;F265</f>
        <v>39_23_Ossature_contreventement_ext</v>
      </c>
      <c r="B265" s="19">
        <v>263</v>
      </c>
      <c r="C265" s="19" t="s">
        <v>123</v>
      </c>
      <c r="D265" s="19" t="s">
        <v>7</v>
      </c>
      <c r="E265" s="5">
        <v>39</v>
      </c>
      <c r="F265" s="5" t="s">
        <v>39</v>
      </c>
      <c r="G265" s="5" t="s">
        <v>40</v>
      </c>
      <c r="H265" s="5" t="s">
        <v>41</v>
      </c>
      <c r="I265" s="5" t="s">
        <v>42</v>
      </c>
      <c r="J265" s="5" t="s">
        <v>43</v>
      </c>
      <c r="K265" s="5" t="s">
        <v>48</v>
      </c>
      <c r="L265" s="5"/>
      <c r="M265" s="5" t="s">
        <v>45</v>
      </c>
      <c r="N265" s="5"/>
      <c r="O265" s="5"/>
      <c r="P265" s="5" t="s">
        <v>14</v>
      </c>
      <c r="Q265" s="5" t="s">
        <v>54</v>
      </c>
      <c r="R265" s="5"/>
    </row>
    <row r="266" spans="1:18">
      <c r="A266" s="19" t="str">
        <f>E266&amp;"_"&amp;COUNTIF(E$3:$E266,E266)&amp;"_"&amp;F266</f>
        <v>43_1_Ossature_contreventement_ext</v>
      </c>
      <c r="B266" s="19">
        <v>264</v>
      </c>
      <c r="C266" s="19" t="s">
        <v>123</v>
      </c>
      <c r="D266" s="19" t="s">
        <v>7</v>
      </c>
      <c r="E266" s="5">
        <v>43</v>
      </c>
      <c r="F266" s="5" t="s">
        <v>39</v>
      </c>
      <c r="G266" s="5" t="s">
        <v>40</v>
      </c>
      <c r="H266" s="5" t="s">
        <v>41</v>
      </c>
      <c r="I266" s="5" t="s">
        <v>42</v>
      </c>
      <c r="J266" s="5" t="s">
        <v>43</v>
      </c>
      <c r="K266" s="5" t="s">
        <v>48</v>
      </c>
      <c r="L266" s="5"/>
      <c r="M266" s="5" t="s">
        <v>45</v>
      </c>
      <c r="N266" s="5"/>
      <c r="O266" s="5"/>
      <c r="P266" s="5" t="s">
        <v>14</v>
      </c>
      <c r="Q266" s="5" t="s">
        <v>55</v>
      </c>
      <c r="R266" s="5"/>
    </row>
    <row r="267" spans="1:18">
      <c r="A267" s="19" t="str">
        <f>E267&amp;"_"&amp;COUNTIF(E$3:$E267,E267)&amp;"_"&amp;F267</f>
        <v>49_33_Ossature_contreventement_ext</v>
      </c>
      <c r="B267" s="19">
        <v>265</v>
      </c>
      <c r="C267" s="19" t="s">
        <v>123</v>
      </c>
      <c r="D267" s="19" t="s">
        <v>7</v>
      </c>
      <c r="E267" s="5">
        <v>49</v>
      </c>
      <c r="F267" s="5" t="s">
        <v>39</v>
      </c>
      <c r="G267" s="5" t="s">
        <v>40</v>
      </c>
      <c r="H267" s="5" t="s">
        <v>41</v>
      </c>
      <c r="I267" s="5" t="s">
        <v>42</v>
      </c>
      <c r="J267" s="5" t="s">
        <v>43</v>
      </c>
      <c r="K267" s="5" t="s">
        <v>48</v>
      </c>
      <c r="L267" s="5"/>
      <c r="M267" s="5" t="s">
        <v>45</v>
      </c>
      <c r="N267" s="5"/>
      <c r="O267" s="5"/>
      <c r="P267" s="5" t="s">
        <v>14</v>
      </c>
      <c r="Q267" s="5" t="s">
        <v>56</v>
      </c>
      <c r="R267" s="5"/>
    </row>
    <row r="268" spans="1:18">
      <c r="A268" s="19" t="str">
        <f>E268&amp;"_"&amp;COUNTIF(E$3:$E268,E268)&amp;"_"&amp;F268</f>
        <v>49_34_Ossature_contreventement_ext</v>
      </c>
      <c r="B268" s="19">
        <v>266</v>
      </c>
      <c r="C268" s="19" t="s">
        <v>123</v>
      </c>
      <c r="D268" s="19" t="s">
        <v>7</v>
      </c>
      <c r="E268" s="5">
        <v>49</v>
      </c>
      <c r="F268" s="5" t="s">
        <v>39</v>
      </c>
      <c r="G268" s="5" t="s">
        <v>40</v>
      </c>
      <c r="H268" s="5" t="s">
        <v>41</v>
      </c>
      <c r="I268" s="5" t="s">
        <v>42</v>
      </c>
      <c r="J268" s="5" t="s">
        <v>43</v>
      </c>
      <c r="K268" s="5" t="s">
        <v>48</v>
      </c>
      <c r="L268" s="5"/>
      <c r="M268" s="5" t="s">
        <v>45</v>
      </c>
      <c r="N268" s="5"/>
      <c r="O268" s="5"/>
      <c r="P268" s="5" t="s">
        <v>14</v>
      </c>
      <c r="Q268" s="5" t="s">
        <v>57</v>
      </c>
      <c r="R268" s="5"/>
    </row>
    <row r="269" spans="1:18">
      <c r="A269" s="19" t="str">
        <f>E269&amp;"_"&amp;COUNTIF(E$3:$E269,E269)&amp;"_"&amp;F269</f>
        <v>36_38_Ossature_contreventement_ext</v>
      </c>
      <c r="B269" s="19">
        <v>267</v>
      </c>
      <c r="C269" s="19" t="s">
        <v>123</v>
      </c>
      <c r="D269" s="19" t="s">
        <v>7</v>
      </c>
      <c r="E269" s="19">
        <v>36</v>
      </c>
      <c r="F269" s="19" t="s">
        <v>39</v>
      </c>
      <c r="G269" s="19" t="s">
        <v>40</v>
      </c>
      <c r="H269" s="19" t="s">
        <v>41</v>
      </c>
      <c r="I269" s="19" t="s">
        <v>42</v>
      </c>
      <c r="J269" s="19" t="s">
        <v>43</v>
      </c>
      <c r="K269" s="19" t="s">
        <v>49</v>
      </c>
      <c r="L269" s="19"/>
      <c r="M269" s="19" t="s">
        <v>45</v>
      </c>
      <c r="N269" s="19"/>
      <c r="O269" s="19"/>
      <c r="P269" s="19" t="s">
        <v>9</v>
      </c>
      <c r="Q269" s="19" t="s">
        <v>51</v>
      </c>
      <c r="R269" s="19"/>
    </row>
    <row r="270" spans="1:18">
      <c r="A270" s="19" t="str">
        <f>E270&amp;"_"&amp;COUNTIF(E$3:$E270,E270)&amp;"_"&amp;F270</f>
        <v>36_39_Ossature_contreventement_ext</v>
      </c>
      <c r="B270" s="19">
        <v>268</v>
      </c>
      <c r="C270" s="19" t="s">
        <v>123</v>
      </c>
      <c r="D270" s="19" t="s">
        <v>7</v>
      </c>
      <c r="E270" s="19">
        <v>36</v>
      </c>
      <c r="F270" s="19" t="s">
        <v>39</v>
      </c>
      <c r="G270" s="19" t="s">
        <v>40</v>
      </c>
      <c r="H270" s="19" t="s">
        <v>41</v>
      </c>
      <c r="I270" s="19" t="s">
        <v>42</v>
      </c>
      <c r="J270" s="19" t="s">
        <v>43</v>
      </c>
      <c r="K270" s="19" t="s">
        <v>49</v>
      </c>
      <c r="L270" s="19"/>
      <c r="M270" s="19" t="s">
        <v>45</v>
      </c>
      <c r="N270" s="19"/>
      <c r="O270" s="19"/>
      <c r="P270" s="19" t="s">
        <v>9</v>
      </c>
      <c r="Q270" s="19" t="s">
        <v>52</v>
      </c>
      <c r="R270" s="19"/>
    </row>
    <row r="271" spans="1:18">
      <c r="A271" s="19" t="str">
        <f>E271&amp;"_"&amp;COUNTIF(E$3:$E271,E271)&amp;"_"&amp;F271</f>
        <v>37_37_Ossature_contreventement_ext</v>
      </c>
      <c r="B271" s="19">
        <v>269</v>
      </c>
      <c r="C271" s="19" t="s">
        <v>123</v>
      </c>
      <c r="D271" s="19" t="s">
        <v>7</v>
      </c>
      <c r="E271" s="19">
        <v>37</v>
      </c>
      <c r="F271" s="19" t="s">
        <v>39</v>
      </c>
      <c r="G271" s="19" t="s">
        <v>40</v>
      </c>
      <c r="H271" s="19" t="s">
        <v>41</v>
      </c>
      <c r="I271" s="19" t="s">
        <v>42</v>
      </c>
      <c r="J271" s="19" t="s">
        <v>43</v>
      </c>
      <c r="K271" s="19" t="s">
        <v>49</v>
      </c>
      <c r="L271" s="19"/>
      <c r="M271" s="19" t="s">
        <v>45</v>
      </c>
      <c r="N271" s="19"/>
      <c r="O271" s="19"/>
      <c r="P271" s="19" t="s">
        <v>9</v>
      </c>
      <c r="Q271" s="19" t="s">
        <v>53</v>
      </c>
      <c r="R271" s="19"/>
    </row>
    <row r="272" spans="1:18">
      <c r="A272" s="19" t="str">
        <f>E272&amp;"_"&amp;COUNTIF(E$3:$E272,E272)&amp;"_"&amp;F272</f>
        <v>35_31_Ossature_contreventement_ext</v>
      </c>
      <c r="B272" s="19">
        <v>270</v>
      </c>
      <c r="C272" s="19" t="s">
        <v>123</v>
      </c>
      <c r="D272" s="19" t="s">
        <v>7</v>
      </c>
      <c r="E272" s="19">
        <v>35</v>
      </c>
      <c r="F272" s="19" t="s">
        <v>39</v>
      </c>
      <c r="G272" s="19" t="s">
        <v>40</v>
      </c>
      <c r="H272" s="19" t="s">
        <v>41</v>
      </c>
      <c r="I272" s="19" t="s">
        <v>42</v>
      </c>
      <c r="J272" s="19" t="s">
        <v>43</v>
      </c>
      <c r="K272" s="19" t="s">
        <v>49</v>
      </c>
      <c r="L272" s="19"/>
      <c r="M272" s="19" t="s">
        <v>45</v>
      </c>
      <c r="N272" s="19"/>
      <c r="O272" s="19"/>
      <c r="P272" s="19" t="s">
        <v>9</v>
      </c>
      <c r="Q272" s="19" t="s">
        <v>54</v>
      </c>
      <c r="R272" s="19"/>
    </row>
    <row r="273" spans="1:18">
      <c r="A273" s="19" t="str">
        <f>E273&amp;"_"&amp;COUNTIF(E$3:$E273,E273)&amp;"_"&amp;F273</f>
        <v>39_24_Ossature_contreventement_ext</v>
      </c>
      <c r="B273" s="19">
        <v>271</v>
      </c>
      <c r="C273" s="19" t="s">
        <v>123</v>
      </c>
      <c r="D273" s="19" t="s">
        <v>7</v>
      </c>
      <c r="E273" s="19">
        <v>39</v>
      </c>
      <c r="F273" s="19" t="s">
        <v>39</v>
      </c>
      <c r="G273" s="19" t="s">
        <v>40</v>
      </c>
      <c r="H273" s="19" t="s">
        <v>41</v>
      </c>
      <c r="I273" s="19" t="s">
        <v>42</v>
      </c>
      <c r="J273" s="19" t="s">
        <v>43</v>
      </c>
      <c r="K273" s="19" t="s">
        <v>49</v>
      </c>
      <c r="L273" s="19"/>
      <c r="M273" s="19" t="s">
        <v>45</v>
      </c>
      <c r="N273" s="19"/>
      <c r="O273" s="19"/>
      <c r="P273" s="19" t="s">
        <v>9</v>
      </c>
      <c r="Q273" s="19" t="s">
        <v>55</v>
      </c>
      <c r="R273" s="19"/>
    </row>
    <row r="274" spans="1:18">
      <c r="A274" s="19" t="str">
        <f>E274&amp;"_"&amp;COUNTIF(E$3:$E274,E274)&amp;"_"&amp;F274</f>
        <v>48_12_Ossature_contreventement_ext</v>
      </c>
      <c r="B274" s="19">
        <v>272</v>
      </c>
      <c r="C274" s="19" t="s">
        <v>123</v>
      </c>
      <c r="D274" s="19" t="s">
        <v>7</v>
      </c>
      <c r="E274" s="19">
        <v>48</v>
      </c>
      <c r="F274" s="19" t="s">
        <v>39</v>
      </c>
      <c r="G274" s="19" t="s">
        <v>40</v>
      </c>
      <c r="H274" s="19" t="s">
        <v>41</v>
      </c>
      <c r="I274" s="19" t="s">
        <v>42</v>
      </c>
      <c r="J274" s="19" t="s">
        <v>43</v>
      </c>
      <c r="K274" s="19" t="s">
        <v>49</v>
      </c>
      <c r="L274" s="19"/>
      <c r="M274" s="19" t="s">
        <v>45</v>
      </c>
      <c r="N274" s="19"/>
      <c r="O274" s="19"/>
      <c r="P274" s="19" t="s">
        <v>9</v>
      </c>
      <c r="Q274" s="19" t="s">
        <v>56</v>
      </c>
      <c r="R274" s="19"/>
    </row>
    <row r="275" spans="1:18">
      <c r="A275" s="19" t="str">
        <f>E275&amp;"_"&amp;COUNTIF(E$3:$E275,E275)&amp;"_"&amp;F275</f>
        <v>49_35_Ossature_contreventement_ext</v>
      </c>
      <c r="B275" s="19">
        <v>273</v>
      </c>
      <c r="C275" s="19" t="s">
        <v>123</v>
      </c>
      <c r="D275" s="19" t="s">
        <v>7</v>
      </c>
      <c r="E275" s="19">
        <v>49</v>
      </c>
      <c r="F275" s="19" t="s">
        <v>39</v>
      </c>
      <c r="G275" s="19" t="s">
        <v>40</v>
      </c>
      <c r="H275" s="19" t="s">
        <v>41</v>
      </c>
      <c r="I275" s="19" t="s">
        <v>42</v>
      </c>
      <c r="J275" s="19" t="s">
        <v>43</v>
      </c>
      <c r="K275" s="19" t="s">
        <v>49</v>
      </c>
      <c r="L275" s="19"/>
      <c r="M275" s="19" t="s">
        <v>45</v>
      </c>
      <c r="N275" s="19"/>
      <c r="O275" s="19"/>
      <c r="P275" s="19" t="s">
        <v>9</v>
      </c>
      <c r="Q275" s="19" t="s">
        <v>57</v>
      </c>
      <c r="R275" s="19"/>
    </row>
    <row r="276" spans="1:18">
      <c r="A276" s="19" t="str">
        <f>E276&amp;"_"&amp;COUNTIF(E$3:$E276,E276)&amp;"_"&amp;F276</f>
        <v>38_33_Ossature_contreventement_ext</v>
      </c>
      <c r="B276" s="19">
        <v>274</v>
      </c>
      <c r="C276" s="19" t="s">
        <v>123</v>
      </c>
      <c r="D276" s="19" t="s">
        <v>7</v>
      </c>
      <c r="E276" s="5">
        <v>38</v>
      </c>
      <c r="F276" s="5" t="s">
        <v>39</v>
      </c>
      <c r="G276" s="5" t="s">
        <v>40</v>
      </c>
      <c r="H276" s="5" t="s">
        <v>41</v>
      </c>
      <c r="I276" s="5" t="s">
        <v>42</v>
      </c>
      <c r="J276" s="5" t="s">
        <v>43</v>
      </c>
      <c r="K276" s="5" t="s">
        <v>49</v>
      </c>
      <c r="L276" s="5"/>
      <c r="M276" s="5" t="s">
        <v>45</v>
      </c>
      <c r="N276" s="5"/>
      <c r="O276" s="5"/>
      <c r="P276" s="5" t="s">
        <v>10</v>
      </c>
      <c r="Q276" s="5" t="s">
        <v>51</v>
      </c>
      <c r="R276" s="5"/>
    </row>
    <row r="277" spans="1:18">
      <c r="A277" s="19" t="str">
        <f>E277&amp;"_"&amp;COUNTIF(E$3:$E277,E277)&amp;"_"&amp;F277</f>
        <v>38_34_Ossature_contreventement_ext</v>
      </c>
      <c r="B277" s="19">
        <v>275</v>
      </c>
      <c r="C277" s="19" t="s">
        <v>123</v>
      </c>
      <c r="D277" s="19" t="s">
        <v>7</v>
      </c>
      <c r="E277" s="5">
        <v>38</v>
      </c>
      <c r="F277" s="5" t="s">
        <v>39</v>
      </c>
      <c r="G277" s="5" t="s">
        <v>40</v>
      </c>
      <c r="H277" s="5" t="s">
        <v>41</v>
      </c>
      <c r="I277" s="5" t="s">
        <v>42</v>
      </c>
      <c r="J277" s="5" t="s">
        <v>43</v>
      </c>
      <c r="K277" s="5" t="s">
        <v>49</v>
      </c>
      <c r="L277" s="5"/>
      <c r="M277" s="5" t="s">
        <v>45</v>
      </c>
      <c r="N277" s="5"/>
      <c r="O277" s="5"/>
      <c r="P277" s="5" t="s">
        <v>10</v>
      </c>
      <c r="Q277" s="5" t="s">
        <v>52</v>
      </c>
      <c r="R277" s="5"/>
    </row>
    <row r="278" spans="1:18">
      <c r="A278" s="19" t="str">
        <f>E278&amp;"_"&amp;COUNTIF(E$3:$E278,E278)&amp;"_"&amp;F278</f>
        <v>39_25_Ossature_contreventement_ext</v>
      </c>
      <c r="B278" s="19">
        <v>276</v>
      </c>
      <c r="C278" s="19" t="s">
        <v>123</v>
      </c>
      <c r="D278" s="19" t="s">
        <v>7</v>
      </c>
      <c r="E278" s="5">
        <v>39</v>
      </c>
      <c r="F278" s="5" t="s">
        <v>39</v>
      </c>
      <c r="G278" s="5" t="s">
        <v>40</v>
      </c>
      <c r="H278" s="5" t="s">
        <v>41</v>
      </c>
      <c r="I278" s="5" t="s">
        <v>42</v>
      </c>
      <c r="J278" s="5" t="s">
        <v>43</v>
      </c>
      <c r="K278" s="5" t="s">
        <v>49</v>
      </c>
      <c r="L278" s="5"/>
      <c r="M278" s="5" t="s">
        <v>45</v>
      </c>
      <c r="N278" s="5"/>
      <c r="O278" s="5"/>
      <c r="P278" s="5" t="s">
        <v>10</v>
      </c>
      <c r="Q278" s="5" t="s">
        <v>53</v>
      </c>
      <c r="R278" s="5"/>
    </row>
    <row r="279" spans="1:18">
      <c r="A279" s="19" t="str">
        <f>E279&amp;"_"&amp;COUNTIF(E$3:$E279,E279)&amp;"_"&amp;F279</f>
        <v>37_38_Ossature_contreventement_ext</v>
      </c>
      <c r="B279" s="19">
        <v>277</v>
      </c>
      <c r="C279" s="19" t="s">
        <v>123</v>
      </c>
      <c r="D279" s="19" t="s">
        <v>7</v>
      </c>
      <c r="E279" s="5">
        <v>37</v>
      </c>
      <c r="F279" s="5" t="s">
        <v>39</v>
      </c>
      <c r="G279" s="5" t="s">
        <v>40</v>
      </c>
      <c r="H279" s="5" t="s">
        <v>41</v>
      </c>
      <c r="I279" s="5" t="s">
        <v>42</v>
      </c>
      <c r="J279" s="5" t="s">
        <v>43</v>
      </c>
      <c r="K279" s="5" t="s">
        <v>49</v>
      </c>
      <c r="L279" s="5"/>
      <c r="M279" s="5" t="s">
        <v>45</v>
      </c>
      <c r="N279" s="5"/>
      <c r="O279" s="5"/>
      <c r="P279" s="5" t="s">
        <v>10</v>
      </c>
      <c r="Q279" s="5" t="s">
        <v>54</v>
      </c>
      <c r="R279" s="5"/>
    </row>
    <row r="280" spans="1:18">
      <c r="A280" s="19" t="str">
        <f>E280&amp;"_"&amp;COUNTIF(E$3:$E280,E280)&amp;"_"&amp;F280</f>
        <v>41_7_Ossature_contreventement_ext</v>
      </c>
      <c r="B280" s="19">
        <v>278</v>
      </c>
      <c r="C280" s="19" t="s">
        <v>123</v>
      </c>
      <c r="D280" s="19" t="s">
        <v>7</v>
      </c>
      <c r="E280" s="5">
        <v>41</v>
      </c>
      <c r="F280" s="5" t="s">
        <v>39</v>
      </c>
      <c r="G280" s="5" t="s">
        <v>40</v>
      </c>
      <c r="H280" s="5" t="s">
        <v>41</v>
      </c>
      <c r="I280" s="5" t="s">
        <v>42</v>
      </c>
      <c r="J280" s="5" t="s">
        <v>43</v>
      </c>
      <c r="K280" s="5" t="s">
        <v>49</v>
      </c>
      <c r="L280" s="5"/>
      <c r="M280" s="5" t="s">
        <v>45</v>
      </c>
      <c r="N280" s="5"/>
      <c r="O280" s="5"/>
      <c r="P280" s="5" t="s">
        <v>10</v>
      </c>
      <c r="Q280" s="5" t="s">
        <v>55</v>
      </c>
      <c r="R280" s="5"/>
    </row>
    <row r="281" spans="1:18">
      <c r="A281" s="19" t="str">
        <f>E281&amp;"_"&amp;COUNTIF(E$3:$E281,E281)&amp;"_"&amp;F281</f>
        <v>49_36_Ossature_contreventement_ext</v>
      </c>
      <c r="B281" s="19">
        <v>279</v>
      </c>
      <c r="C281" s="19" t="s">
        <v>123</v>
      </c>
      <c r="D281" s="19" t="s">
        <v>7</v>
      </c>
      <c r="E281" s="5">
        <v>49</v>
      </c>
      <c r="F281" s="5" t="s">
        <v>39</v>
      </c>
      <c r="G281" s="5" t="s">
        <v>40</v>
      </c>
      <c r="H281" s="5" t="s">
        <v>41</v>
      </c>
      <c r="I281" s="5" t="s">
        <v>42</v>
      </c>
      <c r="J281" s="5" t="s">
        <v>43</v>
      </c>
      <c r="K281" s="5" t="s">
        <v>49</v>
      </c>
      <c r="L281" s="5"/>
      <c r="M281" s="5" t="s">
        <v>45</v>
      </c>
      <c r="N281" s="5"/>
      <c r="O281" s="5"/>
      <c r="P281" s="5" t="s">
        <v>10</v>
      </c>
      <c r="Q281" s="5" t="s">
        <v>56</v>
      </c>
      <c r="R281" s="5"/>
    </row>
    <row r="282" spans="1:18">
      <c r="A282" s="19" t="str">
        <f>E282&amp;"_"&amp;COUNTIF(E$3:$E282,E282)&amp;"_"&amp;F282</f>
        <v>49_37_Ossature_contreventement_ext</v>
      </c>
      <c r="B282" s="19">
        <v>280</v>
      </c>
      <c r="C282" s="19" t="s">
        <v>123</v>
      </c>
      <c r="D282" s="19" t="s">
        <v>7</v>
      </c>
      <c r="E282" s="5">
        <v>49</v>
      </c>
      <c r="F282" s="5" t="s">
        <v>39</v>
      </c>
      <c r="G282" s="5" t="s">
        <v>40</v>
      </c>
      <c r="H282" s="5" t="s">
        <v>41</v>
      </c>
      <c r="I282" s="5" t="s">
        <v>42</v>
      </c>
      <c r="J282" s="5" t="s">
        <v>43</v>
      </c>
      <c r="K282" s="5" t="s">
        <v>49</v>
      </c>
      <c r="L282" s="5"/>
      <c r="M282" s="5" t="s">
        <v>45</v>
      </c>
      <c r="N282" s="5"/>
      <c r="O282" s="5"/>
      <c r="P282" s="5" t="s">
        <v>10</v>
      </c>
      <c r="Q282" s="5" t="s">
        <v>57</v>
      </c>
      <c r="R282" s="5"/>
    </row>
    <row r="283" spans="1:18">
      <c r="A283" s="19" t="str">
        <f>E283&amp;"_"&amp;COUNTIF(E$3:$E283,E283)&amp;"_"&amp;F283</f>
        <v>37_39_Ossature_contreventement_ext</v>
      </c>
      <c r="B283" s="19">
        <v>281</v>
      </c>
      <c r="C283" s="19" t="s">
        <v>123</v>
      </c>
      <c r="D283" s="19" t="s">
        <v>7</v>
      </c>
      <c r="E283" s="19">
        <v>37</v>
      </c>
      <c r="F283" s="19" t="s">
        <v>39</v>
      </c>
      <c r="G283" s="19" t="s">
        <v>40</v>
      </c>
      <c r="H283" s="19" t="s">
        <v>41</v>
      </c>
      <c r="I283" s="19" t="s">
        <v>42</v>
      </c>
      <c r="J283" s="19" t="s">
        <v>43</v>
      </c>
      <c r="K283" s="19" t="s">
        <v>49</v>
      </c>
      <c r="L283" s="19"/>
      <c r="M283" s="19" t="s">
        <v>45</v>
      </c>
      <c r="N283" s="19"/>
      <c r="O283" s="19"/>
      <c r="P283" s="19" t="s">
        <v>11</v>
      </c>
      <c r="Q283" s="19" t="s">
        <v>51</v>
      </c>
      <c r="R283" s="19"/>
    </row>
    <row r="284" spans="1:18">
      <c r="A284" s="19" t="str">
        <f>E284&amp;"_"&amp;COUNTIF(E$3:$E284,E284)&amp;"_"&amp;F284</f>
        <v>37_40_Ossature_contreventement_ext</v>
      </c>
      <c r="B284" s="19">
        <v>282</v>
      </c>
      <c r="C284" s="19" t="s">
        <v>123</v>
      </c>
      <c r="D284" s="19" t="s">
        <v>7</v>
      </c>
      <c r="E284" s="19">
        <v>37</v>
      </c>
      <c r="F284" s="19" t="s">
        <v>39</v>
      </c>
      <c r="G284" s="19" t="s">
        <v>40</v>
      </c>
      <c r="H284" s="19" t="s">
        <v>41</v>
      </c>
      <c r="I284" s="19" t="s">
        <v>42</v>
      </c>
      <c r="J284" s="19" t="s">
        <v>43</v>
      </c>
      <c r="K284" s="19" t="s">
        <v>49</v>
      </c>
      <c r="L284" s="19"/>
      <c r="M284" s="19" t="s">
        <v>45</v>
      </c>
      <c r="N284" s="19"/>
      <c r="O284" s="19"/>
      <c r="P284" s="19" t="s">
        <v>11</v>
      </c>
      <c r="Q284" s="19" t="s">
        <v>52</v>
      </c>
      <c r="R284" s="19"/>
    </row>
    <row r="285" spans="1:18">
      <c r="A285" s="19" t="str">
        <f>E285&amp;"_"&amp;COUNTIF(E$3:$E285,E285)&amp;"_"&amp;F285</f>
        <v>38_35_Ossature_contreventement_ext</v>
      </c>
      <c r="B285" s="19">
        <v>283</v>
      </c>
      <c r="C285" s="19" t="s">
        <v>123</v>
      </c>
      <c r="D285" s="19" t="s">
        <v>7</v>
      </c>
      <c r="E285" s="19">
        <v>38</v>
      </c>
      <c r="F285" s="19" t="s">
        <v>39</v>
      </c>
      <c r="G285" s="19" t="s">
        <v>40</v>
      </c>
      <c r="H285" s="19" t="s">
        <v>41</v>
      </c>
      <c r="I285" s="19" t="s">
        <v>42</v>
      </c>
      <c r="J285" s="19" t="s">
        <v>43</v>
      </c>
      <c r="K285" s="19" t="s">
        <v>49</v>
      </c>
      <c r="L285" s="19"/>
      <c r="M285" s="19" t="s">
        <v>45</v>
      </c>
      <c r="N285" s="19"/>
      <c r="O285" s="19"/>
      <c r="P285" s="19" t="s">
        <v>11</v>
      </c>
      <c r="Q285" s="19" t="s">
        <v>53</v>
      </c>
      <c r="R285" s="19"/>
    </row>
    <row r="286" spans="1:18">
      <c r="A286" s="19" t="str">
        <f>E286&amp;"_"&amp;COUNTIF(E$3:$E286,E286)&amp;"_"&amp;F286</f>
        <v>36_40_Ossature_contreventement_ext</v>
      </c>
      <c r="B286" s="19">
        <v>284</v>
      </c>
      <c r="C286" s="19" t="s">
        <v>123</v>
      </c>
      <c r="D286" s="19" t="s">
        <v>7</v>
      </c>
      <c r="E286" s="19">
        <v>36</v>
      </c>
      <c r="F286" s="19" t="s">
        <v>39</v>
      </c>
      <c r="G286" s="19" t="s">
        <v>40</v>
      </c>
      <c r="H286" s="19" t="s">
        <v>41</v>
      </c>
      <c r="I286" s="19" t="s">
        <v>42</v>
      </c>
      <c r="J286" s="19" t="s">
        <v>43</v>
      </c>
      <c r="K286" s="19" t="s">
        <v>49</v>
      </c>
      <c r="L286" s="19"/>
      <c r="M286" s="19" t="s">
        <v>45</v>
      </c>
      <c r="N286" s="19"/>
      <c r="O286" s="19"/>
      <c r="P286" s="19" t="s">
        <v>11</v>
      </c>
      <c r="Q286" s="19" t="s">
        <v>54</v>
      </c>
      <c r="R286" s="19"/>
    </row>
    <row r="287" spans="1:18">
      <c r="A287" s="19" t="str">
        <f>E287&amp;"_"&amp;COUNTIF(E$3:$E287,E287)&amp;"_"&amp;F287</f>
        <v>40_15_Ossature_contreventement_ext</v>
      </c>
      <c r="B287" s="19">
        <v>285</v>
      </c>
      <c r="C287" s="19" t="s">
        <v>123</v>
      </c>
      <c r="D287" s="19" t="s">
        <v>7</v>
      </c>
      <c r="E287" s="19">
        <v>40</v>
      </c>
      <c r="F287" s="19" t="s">
        <v>39</v>
      </c>
      <c r="G287" s="19" t="s">
        <v>40</v>
      </c>
      <c r="H287" s="19" t="s">
        <v>41</v>
      </c>
      <c r="I287" s="19" t="s">
        <v>42</v>
      </c>
      <c r="J287" s="19" t="s">
        <v>43</v>
      </c>
      <c r="K287" s="19" t="s">
        <v>49</v>
      </c>
      <c r="L287" s="19"/>
      <c r="M287" s="19" t="s">
        <v>45</v>
      </c>
      <c r="N287" s="19"/>
      <c r="O287" s="19"/>
      <c r="P287" s="19" t="s">
        <v>11</v>
      </c>
      <c r="Q287" s="19" t="s">
        <v>55</v>
      </c>
      <c r="R287" s="19"/>
    </row>
    <row r="288" spans="1:18">
      <c r="A288" s="19" t="str">
        <f>E288&amp;"_"&amp;COUNTIF(E$3:$E288,E288)&amp;"_"&amp;F288</f>
        <v>49_38_Ossature_contreventement_ext</v>
      </c>
      <c r="B288" s="19">
        <v>286</v>
      </c>
      <c r="C288" s="19" t="s">
        <v>123</v>
      </c>
      <c r="D288" s="19" t="s">
        <v>7</v>
      </c>
      <c r="E288" s="19">
        <v>49</v>
      </c>
      <c r="F288" s="19" t="s">
        <v>39</v>
      </c>
      <c r="G288" s="19" t="s">
        <v>40</v>
      </c>
      <c r="H288" s="19" t="s">
        <v>41</v>
      </c>
      <c r="I288" s="19" t="s">
        <v>42</v>
      </c>
      <c r="J288" s="19" t="s">
        <v>43</v>
      </c>
      <c r="K288" s="19" t="s">
        <v>49</v>
      </c>
      <c r="L288" s="19"/>
      <c r="M288" s="19" t="s">
        <v>45</v>
      </c>
      <c r="N288" s="19"/>
      <c r="O288" s="19"/>
      <c r="P288" s="19" t="s">
        <v>11</v>
      </c>
      <c r="Q288" s="19" t="s">
        <v>56</v>
      </c>
      <c r="R288" s="19"/>
    </row>
    <row r="289" spans="1:18">
      <c r="A289" s="19" t="str">
        <f>E289&amp;"_"&amp;COUNTIF(E$3:$E289,E289)&amp;"_"&amp;F289</f>
        <v>49_39_Ossature_contreventement_ext</v>
      </c>
      <c r="B289" s="19">
        <v>287</v>
      </c>
      <c r="C289" s="19" t="s">
        <v>123</v>
      </c>
      <c r="D289" s="19" t="s">
        <v>7</v>
      </c>
      <c r="E289" s="19">
        <v>49</v>
      </c>
      <c r="F289" s="19" t="s">
        <v>39</v>
      </c>
      <c r="G289" s="19" t="s">
        <v>40</v>
      </c>
      <c r="H289" s="19" t="s">
        <v>41</v>
      </c>
      <c r="I289" s="19" t="s">
        <v>42</v>
      </c>
      <c r="J289" s="19" t="s">
        <v>43</v>
      </c>
      <c r="K289" s="19" t="s">
        <v>49</v>
      </c>
      <c r="L289" s="19"/>
      <c r="M289" s="19" t="s">
        <v>45</v>
      </c>
      <c r="N289" s="19"/>
      <c r="O289" s="19"/>
      <c r="P289" s="19" t="s">
        <v>11</v>
      </c>
      <c r="Q289" s="19" t="s">
        <v>57</v>
      </c>
      <c r="R289" s="19"/>
    </row>
    <row r="290" spans="1:18">
      <c r="A290" s="19" t="str">
        <f>E290&amp;"_"&amp;COUNTIF(E$3:$E290,E290)&amp;"_"&amp;F290</f>
        <v>38_36_Ossature_contreventement_ext</v>
      </c>
      <c r="B290" s="19">
        <v>288</v>
      </c>
      <c r="C290" s="19" t="s">
        <v>123</v>
      </c>
      <c r="D290" s="19" t="s">
        <v>7</v>
      </c>
      <c r="E290" s="20">
        <v>38</v>
      </c>
      <c r="F290" s="5" t="s">
        <v>39</v>
      </c>
      <c r="G290" s="20" t="s">
        <v>40</v>
      </c>
      <c r="H290" s="20" t="s">
        <v>41</v>
      </c>
      <c r="I290" s="20" t="s">
        <v>42</v>
      </c>
      <c r="J290" s="20" t="s">
        <v>43</v>
      </c>
      <c r="K290" s="20" t="s">
        <v>49</v>
      </c>
      <c r="L290" s="20"/>
      <c r="M290" s="20" t="s">
        <v>45</v>
      </c>
      <c r="N290" s="20"/>
      <c r="O290" s="20"/>
      <c r="P290" s="20" t="s">
        <v>12</v>
      </c>
      <c r="Q290" s="20" t="s">
        <v>51</v>
      </c>
      <c r="R290" s="20"/>
    </row>
    <row r="291" spans="1:18">
      <c r="A291" s="19" t="str">
        <f>E291&amp;"_"&amp;COUNTIF(E$3:$E291,E291)&amp;"_"&amp;F291</f>
        <v>38_37_Ossature_contreventement_ext</v>
      </c>
      <c r="B291" s="19">
        <v>289</v>
      </c>
      <c r="C291" s="19" t="s">
        <v>123</v>
      </c>
      <c r="D291" s="19" t="s">
        <v>7</v>
      </c>
      <c r="E291" s="20">
        <v>38</v>
      </c>
      <c r="F291" s="5" t="s">
        <v>39</v>
      </c>
      <c r="G291" s="20" t="s">
        <v>40</v>
      </c>
      <c r="H291" s="20" t="s">
        <v>41</v>
      </c>
      <c r="I291" s="20" t="s">
        <v>42</v>
      </c>
      <c r="J291" s="20" t="s">
        <v>43</v>
      </c>
      <c r="K291" s="20" t="s">
        <v>49</v>
      </c>
      <c r="L291" s="20"/>
      <c r="M291" s="20" t="s">
        <v>45</v>
      </c>
      <c r="N291" s="20"/>
      <c r="O291" s="20"/>
      <c r="P291" s="20" t="s">
        <v>12</v>
      </c>
      <c r="Q291" s="20" t="s">
        <v>52</v>
      </c>
      <c r="R291" s="20"/>
    </row>
    <row r="292" spans="1:18">
      <c r="A292" s="19" t="str">
        <f>E292&amp;"_"&amp;COUNTIF(E$3:$E292,E292)&amp;"_"&amp;F292</f>
        <v>39_26_Ossature_contreventement_ext</v>
      </c>
      <c r="B292" s="19">
        <v>290</v>
      </c>
      <c r="C292" s="19" t="s">
        <v>123</v>
      </c>
      <c r="D292" s="19" t="s">
        <v>7</v>
      </c>
      <c r="E292" s="20">
        <v>39</v>
      </c>
      <c r="F292" s="5" t="s">
        <v>39</v>
      </c>
      <c r="G292" s="20" t="s">
        <v>40</v>
      </c>
      <c r="H292" s="20" t="s">
        <v>41</v>
      </c>
      <c r="I292" s="20" t="s">
        <v>42</v>
      </c>
      <c r="J292" s="20" t="s">
        <v>43</v>
      </c>
      <c r="K292" s="20" t="s">
        <v>49</v>
      </c>
      <c r="L292" s="20"/>
      <c r="M292" s="20" t="s">
        <v>45</v>
      </c>
      <c r="N292" s="20"/>
      <c r="O292" s="20"/>
      <c r="P292" s="20" t="s">
        <v>12</v>
      </c>
      <c r="Q292" s="20" t="s">
        <v>53</v>
      </c>
      <c r="R292" s="20"/>
    </row>
    <row r="293" spans="1:18">
      <c r="A293" s="19" t="str">
        <f>E293&amp;"_"&amp;COUNTIF(E$3:$E293,E293)&amp;"_"&amp;F293</f>
        <v>37_41_Ossature_contreventement_ext</v>
      </c>
      <c r="B293" s="19">
        <v>291</v>
      </c>
      <c r="C293" s="19" t="s">
        <v>123</v>
      </c>
      <c r="D293" s="19" t="s">
        <v>7</v>
      </c>
      <c r="E293" s="20">
        <v>37</v>
      </c>
      <c r="F293" s="5" t="s">
        <v>39</v>
      </c>
      <c r="G293" s="20" t="s">
        <v>40</v>
      </c>
      <c r="H293" s="20" t="s">
        <v>41</v>
      </c>
      <c r="I293" s="20" t="s">
        <v>42</v>
      </c>
      <c r="J293" s="20" t="s">
        <v>43</v>
      </c>
      <c r="K293" s="20" t="s">
        <v>49</v>
      </c>
      <c r="L293" s="20"/>
      <c r="M293" s="20" t="s">
        <v>45</v>
      </c>
      <c r="N293" s="20"/>
      <c r="O293" s="20"/>
      <c r="P293" s="20" t="s">
        <v>12</v>
      </c>
      <c r="Q293" s="20" t="s">
        <v>54</v>
      </c>
      <c r="R293" s="20"/>
    </row>
    <row r="294" spans="1:18">
      <c r="A294" s="19" t="str">
        <f>E294&amp;"_"&amp;COUNTIF(E$3:$E294,E294)&amp;"_"&amp;F294</f>
        <v>41_8_Ossature_contreventement_ext</v>
      </c>
      <c r="B294" s="19">
        <v>292</v>
      </c>
      <c r="C294" s="19" t="s">
        <v>123</v>
      </c>
      <c r="D294" s="19" t="s">
        <v>7</v>
      </c>
      <c r="E294" s="20">
        <v>41</v>
      </c>
      <c r="F294" s="5" t="s">
        <v>39</v>
      </c>
      <c r="G294" s="20" t="s">
        <v>40</v>
      </c>
      <c r="H294" s="20" t="s">
        <v>41</v>
      </c>
      <c r="I294" s="20" t="s">
        <v>42</v>
      </c>
      <c r="J294" s="20" t="s">
        <v>43</v>
      </c>
      <c r="K294" s="20" t="s">
        <v>49</v>
      </c>
      <c r="L294" s="20"/>
      <c r="M294" s="20" t="s">
        <v>45</v>
      </c>
      <c r="N294" s="20"/>
      <c r="O294" s="20"/>
      <c r="P294" s="20" t="s">
        <v>12</v>
      </c>
      <c r="Q294" s="20" t="s">
        <v>55</v>
      </c>
      <c r="R294" s="20"/>
    </row>
    <row r="295" spans="1:18">
      <c r="A295" s="19" t="str">
        <f>E295&amp;"_"&amp;COUNTIF(E$3:$E295,E295)&amp;"_"&amp;F295</f>
        <v>49_40_Ossature_contreventement_ext</v>
      </c>
      <c r="B295" s="19">
        <v>293</v>
      </c>
      <c r="C295" s="19" t="s">
        <v>123</v>
      </c>
      <c r="D295" s="19" t="s">
        <v>7</v>
      </c>
      <c r="E295" s="20">
        <v>49</v>
      </c>
      <c r="F295" s="5" t="s">
        <v>39</v>
      </c>
      <c r="G295" s="20" t="s">
        <v>40</v>
      </c>
      <c r="H295" s="20" t="s">
        <v>41</v>
      </c>
      <c r="I295" s="20" t="s">
        <v>42</v>
      </c>
      <c r="J295" s="20" t="s">
        <v>43</v>
      </c>
      <c r="K295" s="20" t="s">
        <v>49</v>
      </c>
      <c r="L295" s="20"/>
      <c r="M295" s="20" t="s">
        <v>45</v>
      </c>
      <c r="N295" s="20"/>
      <c r="O295" s="20"/>
      <c r="P295" s="20" t="s">
        <v>12</v>
      </c>
      <c r="Q295" s="20" t="s">
        <v>56</v>
      </c>
      <c r="R295" s="20"/>
    </row>
    <row r="296" spans="1:18">
      <c r="A296" s="19" t="str">
        <f>E296&amp;"_"&amp;COUNTIF(E$3:$E296,E296)&amp;"_"&amp;F296</f>
        <v>49_41_Ossature_contreventement_ext</v>
      </c>
      <c r="B296" s="19">
        <v>294</v>
      </c>
      <c r="C296" s="19" t="s">
        <v>123</v>
      </c>
      <c r="D296" s="19" t="s">
        <v>7</v>
      </c>
      <c r="E296" s="20">
        <v>49</v>
      </c>
      <c r="F296" s="5" t="s">
        <v>39</v>
      </c>
      <c r="G296" s="20" t="s">
        <v>40</v>
      </c>
      <c r="H296" s="20" t="s">
        <v>41</v>
      </c>
      <c r="I296" s="20" t="s">
        <v>42</v>
      </c>
      <c r="J296" s="20" t="s">
        <v>43</v>
      </c>
      <c r="K296" s="20" t="s">
        <v>49</v>
      </c>
      <c r="L296" s="20"/>
      <c r="M296" s="20" t="s">
        <v>45</v>
      </c>
      <c r="N296" s="20"/>
      <c r="O296" s="20"/>
      <c r="P296" s="20" t="s">
        <v>12</v>
      </c>
      <c r="Q296" s="20" t="s">
        <v>57</v>
      </c>
      <c r="R296" s="20"/>
    </row>
    <row r="297" spans="1:18">
      <c r="A297" s="19" t="str">
        <f>E297&amp;"_"&amp;COUNTIF(E$3:$E297,E297)&amp;"_"&amp;F297</f>
        <v>40_16_Ossature_contreventement_ext</v>
      </c>
      <c r="B297" s="19">
        <v>295</v>
      </c>
      <c r="C297" s="19" t="s">
        <v>123</v>
      </c>
      <c r="D297" s="19" t="s">
        <v>7</v>
      </c>
      <c r="E297" s="21">
        <v>40</v>
      </c>
      <c r="F297" s="19" t="s">
        <v>39</v>
      </c>
      <c r="G297" s="19" t="s">
        <v>40</v>
      </c>
      <c r="H297" s="19" t="s">
        <v>41</v>
      </c>
      <c r="I297" s="19" t="s">
        <v>42</v>
      </c>
      <c r="J297" s="19" t="s">
        <v>43</v>
      </c>
      <c r="K297" s="19" t="s">
        <v>49</v>
      </c>
      <c r="L297" s="19"/>
      <c r="M297" s="19" t="s">
        <v>45</v>
      </c>
      <c r="N297" s="19"/>
      <c r="O297" s="19"/>
      <c r="P297" s="19" t="s">
        <v>13</v>
      </c>
      <c r="Q297" s="19" t="s">
        <v>51</v>
      </c>
      <c r="R297" s="19"/>
    </row>
    <row r="298" spans="1:18">
      <c r="A298" s="19" t="str">
        <f>E298&amp;"_"&amp;COUNTIF(E$3:$E298,E298)&amp;"_"&amp;F298</f>
        <v>40_17_Ossature_contreventement_ext</v>
      </c>
      <c r="B298" s="19">
        <v>296</v>
      </c>
      <c r="C298" s="19" t="s">
        <v>123</v>
      </c>
      <c r="D298" s="19" t="s">
        <v>7</v>
      </c>
      <c r="E298" s="21">
        <v>40</v>
      </c>
      <c r="F298" s="19" t="s">
        <v>39</v>
      </c>
      <c r="G298" s="19" t="s">
        <v>40</v>
      </c>
      <c r="H298" s="19" t="s">
        <v>41</v>
      </c>
      <c r="I298" s="19" t="s">
        <v>42</v>
      </c>
      <c r="J298" s="19" t="s">
        <v>43</v>
      </c>
      <c r="K298" s="19" t="s">
        <v>49</v>
      </c>
      <c r="L298" s="19"/>
      <c r="M298" s="19" t="s">
        <v>45</v>
      </c>
      <c r="N298" s="19"/>
      <c r="O298" s="19"/>
      <c r="P298" s="19" t="s">
        <v>13</v>
      </c>
      <c r="Q298" s="19" t="s">
        <v>52</v>
      </c>
      <c r="R298" s="19"/>
    </row>
    <row r="299" spans="1:18">
      <c r="A299" s="19" t="str">
        <f>E299&amp;"_"&amp;COUNTIF(E$3:$E299,E299)&amp;"_"&amp;F299</f>
        <v>41_9_Ossature_contreventement_ext</v>
      </c>
      <c r="B299" s="19">
        <v>297</v>
      </c>
      <c r="C299" s="19" t="s">
        <v>123</v>
      </c>
      <c r="D299" s="19" t="s">
        <v>7</v>
      </c>
      <c r="E299" s="21">
        <v>41</v>
      </c>
      <c r="F299" s="19" t="s">
        <v>39</v>
      </c>
      <c r="G299" s="19" t="s">
        <v>40</v>
      </c>
      <c r="H299" s="19" t="s">
        <v>41</v>
      </c>
      <c r="I299" s="19" t="s">
        <v>42</v>
      </c>
      <c r="J299" s="19" t="s">
        <v>43</v>
      </c>
      <c r="K299" s="19" t="s">
        <v>49</v>
      </c>
      <c r="L299" s="19"/>
      <c r="M299" s="19" t="s">
        <v>45</v>
      </c>
      <c r="N299" s="19"/>
      <c r="O299" s="19"/>
      <c r="P299" s="19" t="s">
        <v>13</v>
      </c>
      <c r="Q299" s="19" t="s">
        <v>53</v>
      </c>
      <c r="R299" s="19"/>
    </row>
    <row r="300" spans="1:18">
      <c r="A300" s="19" t="str">
        <f>E300&amp;"_"&amp;COUNTIF(E$3:$E300,E300)&amp;"_"&amp;F300</f>
        <v>39_27_Ossature_contreventement_ext</v>
      </c>
      <c r="B300" s="19">
        <v>298</v>
      </c>
      <c r="C300" s="19" t="s">
        <v>123</v>
      </c>
      <c r="D300" s="19" t="s">
        <v>7</v>
      </c>
      <c r="E300" s="21">
        <v>39</v>
      </c>
      <c r="F300" s="19" t="s">
        <v>39</v>
      </c>
      <c r="G300" s="19" t="s">
        <v>40</v>
      </c>
      <c r="H300" s="19" t="s">
        <v>41</v>
      </c>
      <c r="I300" s="19" t="s">
        <v>42</v>
      </c>
      <c r="J300" s="19" t="s">
        <v>43</v>
      </c>
      <c r="K300" s="19" t="s">
        <v>49</v>
      </c>
      <c r="L300" s="19"/>
      <c r="M300" s="19" t="s">
        <v>45</v>
      </c>
      <c r="N300" s="19"/>
      <c r="O300" s="19"/>
      <c r="P300" s="19" t="s">
        <v>13</v>
      </c>
      <c r="Q300" s="19" t="s">
        <v>54</v>
      </c>
      <c r="R300" s="19"/>
    </row>
    <row r="301" spans="1:18">
      <c r="A301" s="19" t="str">
        <f>E301&amp;"_"&amp;COUNTIF(E$3:$E301,E301)&amp;"_"&amp;F301</f>
        <v>43_2_Ossature_contreventement_ext</v>
      </c>
      <c r="B301" s="19">
        <v>299</v>
      </c>
      <c r="C301" s="19" t="s">
        <v>123</v>
      </c>
      <c r="D301" s="19" t="s">
        <v>7</v>
      </c>
      <c r="E301" s="21">
        <v>43</v>
      </c>
      <c r="F301" s="19" t="s">
        <v>39</v>
      </c>
      <c r="G301" s="19" t="s">
        <v>40</v>
      </c>
      <c r="H301" s="19" t="s">
        <v>41</v>
      </c>
      <c r="I301" s="19" t="s">
        <v>42</v>
      </c>
      <c r="J301" s="19" t="s">
        <v>43</v>
      </c>
      <c r="K301" s="19" t="s">
        <v>49</v>
      </c>
      <c r="L301" s="19"/>
      <c r="M301" s="19" t="s">
        <v>45</v>
      </c>
      <c r="N301" s="19"/>
      <c r="O301" s="19"/>
      <c r="P301" s="19" t="s">
        <v>13</v>
      </c>
      <c r="Q301" s="19" t="s">
        <v>55</v>
      </c>
      <c r="R301" s="19"/>
    </row>
    <row r="302" spans="1:18">
      <c r="A302" s="19" t="str">
        <f>E302&amp;"_"&amp;COUNTIF(E$3:$E302,E302)&amp;"_"&amp;F302</f>
        <v>49_42_Ossature_contreventement_ext</v>
      </c>
      <c r="B302" s="19">
        <v>300</v>
      </c>
      <c r="C302" s="19" t="s">
        <v>123</v>
      </c>
      <c r="D302" s="19" t="s">
        <v>7</v>
      </c>
      <c r="E302" s="21">
        <v>49</v>
      </c>
      <c r="F302" s="19" t="s">
        <v>39</v>
      </c>
      <c r="G302" s="19" t="s">
        <v>40</v>
      </c>
      <c r="H302" s="19" t="s">
        <v>41</v>
      </c>
      <c r="I302" s="19" t="s">
        <v>42</v>
      </c>
      <c r="J302" s="19" t="s">
        <v>43</v>
      </c>
      <c r="K302" s="19" t="s">
        <v>49</v>
      </c>
      <c r="L302" s="19"/>
      <c r="M302" s="19" t="s">
        <v>45</v>
      </c>
      <c r="N302" s="19"/>
      <c r="O302" s="19"/>
      <c r="P302" s="19" t="s">
        <v>13</v>
      </c>
      <c r="Q302" s="19" t="s">
        <v>56</v>
      </c>
      <c r="R302" s="19"/>
    </row>
    <row r="303" spans="1:18">
      <c r="A303" s="19" t="str">
        <f>E303&amp;"_"&amp;COUNTIF(E$3:$E303,E303)&amp;"_"&amp;F303</f>
        <v>49_43_Ossature_contreventement_ext</v>
      </c>
      <c r="B303" s="19">
        <v>301</v>
      </c>
      <c r="C303" s="19" t="s">
        <v>123</v>
      </c>
      <c r="D303" s="19" t="s">
        <v>7</v>
      </c>
      <c r="E303" s="21">
        <v>49</v>
      </c>
      <c r="F303" s="19" t="s">
        <v>39</v>
      </c>
      <c r="G303" s="19" t="s">
        <v>40</v>
      </c>
      <c r="H303" s="19" t="s">
        <v>41</v>
      </c>
      <c r="I303" s="19" t="s">
        <v>42</v>
      </c>
      <c r="J303" s="19" t="s">
        <v>43</v>
      </c>
      <c r="K303" s="19" t="s">
        <v>49</v>
      </c>
      <c r="L303" s="19"/>
      <c r="M303" s="19" t="s">
        <v>45</v>
      </c>
      <c r="N303" s="19"/>
      <c r="O303" s="19"/>
      <c r="P303" s="19" t="s">
        <v>13</v>
      </c>
      <c r="Q303" s="19" t="s">
        <v>57</v>
      </c>
      <c r="R303" s="19"/>
    </row>
    <row r="304" spans="1:18">
      <c r="A304" s="19" t="str">
        <f>E304&amp;"_"&amp;COUNTIF(E$3:$E304,E304)&amp;"_"&amp;F304</f>
        <v>41_10_Ossature_contreventement_ext</v>
      </c>
      <c r="B304" s="19">
        <v>302</v>
      </c>
      <c r="C304" s="19" t="s">
        <v>123</v>
      </c>
      <c r="D304" s="19" t="s">
        <v>7</v>
      </c>
      <c r="E304" s="20">
        <v>41</v>
      </c>
      <c r="F304" s="5" t="s">
        <v>39</v>
      </c>
      <c r="G304" s="5" t="s">
        <v>40</v>
      </c>
      <c r="H304" s="5" t="s">
        <v>41</v>
      </c>
      <c r="I304" s="5" t="s">
        <v>42</v>
      </c>
      <c r="J304" s="5" t="s">
        <v>43</v>
      </c>
      <c r="K304" s="5" t="s">
        <v>49</v>
      </c>
      <c r="L304" s="5"/>
      <c r="M304" s="5" t="s">
        <v>45</v>
      </c>
      <c r="N304" s="5"/>
      <c r="O304" s="5"/>
      <c r="P304" s="5" t="s">
        <v>14</v>
      </c>
      <c r="Q304" s="5" t="s">
        <v>51</v>
      </c>
      <c r="R304" s="5"/>
    </row>
    <row r="305" spans="1:18">
      <c r="A305" s="19" t="str">
        <f>E305&amp;"_"&amp;COUNTIF(E$3:$E305,E305)&amp;"_"&amp;F305</f>
        <v>41_11_Ossature_contreventement_ext</v>
      </c>
      <c r="B305" s="19">
        <v>303</v>
      </c>
      <c r="C305" s="19" t="s">
        <v>123</v>
      </c>
      <c r="D305" s="19" t="s">
        <v>7</v>
      </c>
      <c r="E305" s="20">
        <v>41</v>
      </c>
      <c r="F305" s="5" t="s">
        <v>39</v>
      </c>
      <c r="G305" s="5" t="s">
        <v>40</v>
      </c>
      <c r="H305" s="5" t="s">
        <v>41</v>
      </c>
      <c r="I305" s="5" t="s">
        <v>42</v>
      </c>
      <c r="J305" s="5" t="s">
        <v>43</v>
      </c>
      <c r="K305" s="5" t="s">
        <v>49</v>
      </c>
      <c r="L305" s="5"/>
      <c r="M305" s="5" t="s">
        <v>45</v>
      </c>
      <c r="N305" s="5"/>
      <c r="O305" s="5"/>
      <c r="P305" s="5" t="s">
        <v>14</v>
      </c>
      <c r="Q305" s="5" t="s">
        <v>52</v>
      </c>
      <c r="R305" s="5"/>
    </row>
    <row r="306" spans="1:18">
      <c r="A306" s="19" t="str">
        <f>E306&amp;"_"&amp;COUNTIF(E$3:$E306,E306)&amp;"_"&amp;F306</f>
        <v>42_4_Ossature_contreventement_ext</v>
      </c>
      <c r="B306" s="19">
        <v>304</v>
      </c>
      <c r="C306" s="19" t="s">
        <v>123</v>
      </c>
      <c r="D306" s="19" t="s">
        <v>7</v>
      </c>
      <c r="E306" s="20">
        <v>42</v>
      </c>
      <c r="F306" s="5" t="s">
        <v>39</v>
      </c>
      <c r="G306" s="5" t="s">
        <v>40</v>
      </c>
      <c r="H306" s="5" t="s">
        <v>41</v>
      </c>
      <c r="I306" s="5" t="s">
        <v>42</v>
      </c>
      <c r="J306" s="5" t="s">
        <v>43</v>
      </c>
      <c r="K306" s="5" t="s">
        <v>49</v>
      </c>
      <c r="L306" s="5"/>
      <c r="M306" s="5" t="s">
        <v>45</v>
      </c>
      <c r="N306" s="5"/>
      <c r="O306" s="5"/>
      <c r="P306" s="5" t="s">
        <v>14</v>
      </c>
      <c r="Q306" s="5" t="s">
        <v>53</v>
      </c>
      <c r="R306" s="5"/>
    </row>
    <row r="307" spans="1:18">
      <c r="A307" s="19" t="str">
        <f>E307&amp;"_"&amp;COUNTIF(E$3:$E307,E307)&amp;"_"&amp;F307</f>
        <v>40_18_Ossature_contreventement_ext</v>
      </c>
      <c r="B307" s="19">
        <v>305</v>
      </c>
      <c r="C307" s="19" t="s">
        <v>123</v>
      </c>
      <c r="D307" s="19" t="s">
        <v>7</v>
      </c>
      <c r="E307" s="20">
        <v>40</v>
      </c>
      <c r="F307" s="5" t="s">
        <v>39</v>
      </c>
      <c r="G307" s="5" t="s">
        <v>40</v>
      </c>
      <c r="H307" s="5" t="s">
        <v>41</v>
      </c>
      <c r="I307" s="5" t="s">
        <v>42</v>
      </c>
      <c r="J307" s="5" t="s">
        <v>43</v>
      </c>
      <c r="K307" s="5" t="s">
        <v>49</v>
      </c>
      <c r="L307" s="5"/>
      <c r="M307" s="5" t="s">
        <v>45</v>
      </c>
      <c r="N307" s="5"/>
      <c r="O307" s="5"/>
      <c r="P307" s="5" t="s">
        <v>14</v>
      </c>
      <c r="Q307" s="5" t="s">
        <v>54</v>
      </c>
      <c r="R307" s="5"/>
    </row>
    <row r="308" spans="1:18">
      <c r="A308" s="19" t="str">
        <f>E308&amp;"_"&amp;COUNTIF(E$3:$E308,E308)&amp;"_"&amp;F308</f>
        <v>44_1_Ossature_contreventement_ext</v>
      </c>
      <c r="B308" s="19">
        <v>306</v>
      </c>
      <c r="C308" s="19" t="s">
        <v>123</v>
      </c>
      <c r="D308" s="19" t="s">
        <v>7</v>
      </c>
      <c r="E308" s="20">
        <v>44</v>
      </c>
      <c r="F308" s="5" t="s">
        <v>39</v>
      </c>
      <c r="G308" s="5" t="s">
        <v>40</v>
      </c>
      <c r="H308" s="5" t="s">
        <v>41</v>
      </c>
      <c r="I308" s="5" t="s">
        <v>42</v>
      </c>
      <c r="J308" s="5" t="s">
        <v>43</v>
      </c>
      <c r="K308" s="5" t="s">
        <v>49</v>
      </c>
      <c r="L308" s="5"/>
      <c r="M308" s="5" t="s">
        <v>45</v>
      </c>
      <c r="N308" s="5"/>
      <c r="O308" s="5"/>
      <c r="P308" s="5" t="s">
        <v>14</v>
      </c>
      <c r="Q308" s="5" t="s">
        <v>55</v>
      </c>
      <c r="R308" s="5"/>
    </row>
    <row r="309" spans="1:18">
      <c r="A309" s="19" t="str">
        <f>E309&amp;"_"&amp;COUNTIF(E$3:$E309,E309)&amp;"_"&amp;F309</f>
        <v>49_44_Ossature_contreventement_ext</v>
      </c>
      <c r="B309" s="19">
        <v>307</v>
      </c>
      <c r="C309" s="19" t="s">
        <v>123</v>
      </c>
      <c r="D309" s="19" t="s">
        <v>7</v>
      </c>
      <c r="E309" s="20">
        <v>49</v>
      </c>
      <c r="F309" s="5" t="s">
        <v>39</v>
      </c>
      <c r="G309" s="5" t="s">
        <v>40</v>
      </c>
      <c r="H309" s="5" t="s">
        <v>41</v>
      </c>
      <c r="I309" s="5" t="s">
        <v>42</v>
      </c>
      <c r="J309" s="5" t="s">
        <v>43</v>
      </c>
      <c r="K309" s="5" t="s">
        <v>49</v>
      </c>
      <c r="L309" s="5"/>
      <c r="M309" s="5" t="s">
        <v>45</v>
      </c>
      <c r="N309" s="5"/>
      <c r="O309" s="5"/>
      <c r="P309" s="5" t="s">
        <v>14</v>
      </c>
      <c r="Q309" s="5" t="s">
        <v>56</v>
      </c>
      <c r="R309" s="5"/>
    </row>
    <row r="310" spans="1:18">
      <c r="A310" s="19" t="str">
        <f>E310&amp;"_"&amp;COUNTIF(E$3:$E310,E310)&amp;"_"&amp;F310</f>
        <v>49_45_Ossature_contreventement_ext</v>
      </c>
      <c r="B310" s="19">
        <v>308</v>
      </c>
      <c r="C310" s="19" t="s">
        <v>123</v>
      </c>
      <c r="D310" s="19" t="s">
        <v>7</v>
      </c>
      <c r="E310" s="20">
        <v>49</v>
      </c>
      <c r="F310" s="5" t="s">
        <v>39</v>
      </c>
      <c r="G310" s="5" t="s">
        <v>40</v>
      </c>
      <c r="H310" s="5" t="s">
        <v>41</v>
      </c>
      <c r="I310" s="5" t="s">
        <v>42</v>
      </c>
      <c r="J310" s="5" t="s">
        <v>43</v>
      </c>
      <c r="K310" s="5" t="s">
        <v>49</v>
      </c>
      <c r="L310" s="5"/>
      <c r="M310" s="5" t="s">
        <v>45</v>
      </c>
      <c r="N310" s="5"/>
      <c r="O310" s="5"/>
      <c r="P310" s="5" t="s">
        <v>14</v>
      </c>
      <c r="Q310" s="5" t="s">
        <v>57</v>
      </c>
      <c r="R310" s="5"/>
    </row>
    <row r="311" spans="1:18">
      <c r="A311" s="19" t="str">
        <f>E311&amp;"_"&amp;COUNTIF(E$3:$E311,E311)&amp;"_"&amp;F311</f>
        <v>34_19_Ossature_contreventement_ext</v>
      </c>
      <c r="B311" s="19">
        <v>309</v>
      </c>
      <c r="C311" s="19" t="s">
        <v>123</v>
      </c>
      <c r="D311" s="19" t="s">
        <v>7</v>
      </c>
      <c r="E311" s="19">
        <v>34</v>
      </c>
      <c r="F311" s="19" t="s">
        <v>39</v>
      </c>
      <c r="G311" s="19" t="s">
        <v>40</v>
      </c>
      <c r="H311" s="19" t="s">
        <v>41</v>
      </c>
      <c r="I311" s="19" t="s">
        <v>42</v>
      </c>
      <c r="J311" s="19" t="s">
        <v>43</v>
      </c>
      <c r="K311" s="19" t="s">
        <v>50</v>
      </c>
      <c r="L311" s="19"/>
      <c r="M311" s="19" t="s">
        <v>45</v>
      </c>
      <c r="N311" s="19"/>
      <c r="O311" s="19"/>
      <c r="P311" s="19" t="s">
        <v>9</v>
      </c>
      <c r="Q311" s="19" t="s">
        <v>51</v>
      </c>
      <c r="R311" s="19"/>
    </row>
    <row r="312" spans="1:18">
      <c r="A312" s="19" t="str">
        <f>E312&amp;"_"&amp;COUNTIF(E$3:$E312,E312)&amp;"_"&amp;F312</f>
        <v>34_20_Ossature_contreventement_ext</v>
      </c>
      <c r="B312" s="19">
        <v>310</v>
      </c>
      <c r="C312" s="19" t="s">
        <v>123</v>
      </c>
      <c r="D312" s="19" t="s">
        <v>7</v>
      </c>
      <c r="E312" s="19">
        <v>34</v>
      </c>
      <c r="F312" s="19" t="s">
        <v>39</v>
      </c>
      <c r="G312" s="19" t="s">
        <v>40</v>
      </c>
      <c r="H312" s="19" t="s">
        <v>41</v>
      </c>
      <c r="I312" s="19" t="s">
        <v>42</v>
      </c>
      <c r="J312" s="19" t="s">
        <v>43</v>
      </c>
      <c r="K312" s="19" t="s">
        <v>50</v>
      </c>
      <c r="L312" s="19"/>
      <c r="M312" s="19" t="s">
        <v>45</v>
      </c>
      <c r="N312" s="19"/>
      <c r="O312" s="19"/>
      <c r="P312" s="19" t="s">
        <v>9</v>
      </c>
      <c r="Q312" s="19" t="s">
        <v>52</v>
      </c>
      <c r="R312" s="19"/>
    </row>
    <row r="313" spans="1:18">
      <c r="A313" s="19" t="str">
        <f>E313&amp;"_"&amp;COUNTIF(E$3:$E313,E313)&amp;"_"&amp;F313</f>
        <v>35_32_Ossature_contreventement_ext</v>
      </c>
      <c r="B313" s="19">
        <v>311</v>
      </c>
      <c r="C313" s="19" t="s">
        <v>123</v>
      </c>
      <c r="D313" s="19" t="s">
        <v>7</v>
      </c>
      <c r="E313" s="19">
        <v>35</v>
      </c>
      <c r="F313" s="19" t="s">
        <v>39</v>
      </c>
      <c r="G313" s="19" t="s">
        <v>40</v>
      </c>
      <c r="H313" s="19" t="s">
        <v>41</v>
      </c>
      <c r="I313" s="19" t="s">
        <v>42</v>
      </c>
      <c r="J313" s="19" t="s">
        <v>43</v>
      </c>
      <c r="K313" s="19" t="s">
        <v>50</v>
      </c>
      <c r="L313" s="19"/>
      <c r="M313" s="19" t="s">
        <v>45</v>
      </c>
      <c r="N313" s="19"/>
      <c r="O313" s="19"/>
      <c r="P313" s="19" t="s">
        <v>9</v>
      </c>
      <c r="Q313" s="19" t="s">
        <v>53</v>
      </c>
      <c r="R313" s="19"/>
    </row>
    <row r="314" spans="1:18">
      <c r="A314" s="19" t="str">
        <f>E314&amp;"_"&amp;COUNTIF(E$3:$E314,E314)&amp;"_"&amp;F314</f>
        <v>33_9_Ossature_contreventement_ext</v>
      </c>
      <c r="B314" s="19">
        <v>312</v>
      </c>
      <c r="C314" s="19" t="s">
        <v>123</v>
      </c>
      <c r="D314" s="19" t="s">
        <v>7</v>
      </c>
      <c r="E314" s="19">
        <v>33</v>
      </c>
      <c r="F314" s="19" t="s">
        <v>39</v>
      </c>
      <c r="G314" s="19" t="s">
        <v>40</v>
      </c>
      <c r="H314" s="19" t="s">
        <v>41</v>
      </c>
      <c r="I314" s="19" t="s">
        <v>42</v>
      </c>
      <c r="J314" s="19" t="s">
        <v>43</v>
      </c>
      <c r="K314" s="19" t="s">
        <v>50</v>
      </c>
      <c r="L314" s="19"/>
      <c r="M314" s="19" t="s">
        <v>45</v>
      </c>
      <c r="N314" s="19"/>
      <c r="O314" s="19"/>
      <c r="P314" s="19" t="s">
        <v>9</v>
      </c>
      <c r="Q314" s="19" t="s">
        <v>54</v>
      </c>
      <c r="R314" s="19"/>
    </row>
    <row r="315" spans="1:18">
      <c r="A315" s="19" t="str">
        <f>E315&amp;"_"&amp;COUNTIF(E$3:$E315,E315)&amp;"_"&amp;F315</f>
        <v>37_42_Ossature_contreventement_ext</v>
      </c>
      <c r="B315" s="19">
        <v>313</v>
      </c>
      <c r="C315" s="19" t="s">
        <v>123</v>
      </c>
      <c r="D315" s="19" t="s">
        <v>7</v>
      </c>
      <c r="E315" s="19">
        <v>37</v>
      </c>
      <c r="F315" s="19" t="s">
        <v>39</v>
      </c>
      <c r="G315" s="19" t="s">
        <v>40</v>
      </c>
      <c r="H315" s="19" t="s">
        <v>41</v>
      </c>
      <c r="I315" s="19" t="s">
        <v>42</v>
      </c>
      <c r="J315" s="19" t="s">
        <v>43</v>
      </c>
      <c r="K315" s="19" t="s">
        <v>50</v>
      </c>
      <c r="L315" s="19"/>
      <c r="M315" s="19" t="s">
        <v>45</v>
      </c>
      <c r="N315" s="19"/>
      <c r="O315" s="19"/>
      <c r="P315" s="19" t="s">
        <v>9</v>
      </c>
      <c r="Q315" s="19" t="s">
        <v>55</v>
      </c>
      <c r="R315" s="19"/>
    </row>
    <row r="316" spans="1:18">
      <c r="A316" s="19" t="str">
        <f>E316&amp;"_"&amp;COUNTIF(E$3:$E316,E316)&amp;"_"&amp;F316</f>
        <v>46_4_Ossature_contreventement_ext</v>
      </c>
      <c r="B316" s="19">
        <v>314</v>
      </c>
      <c r="C316" s="19" t="s">
        <v>123</v>
      </c>
      <c r="D316" s="19" t="s">
        <v>7</v>
      </c>
      <c r="E316" s="19">
        <v>46</v>
      </c>
      <c r="F316" s="19" t="s">
        <v>39</v>
      </c>
      <c r="G316" s="19" t="s">
        <v>40</v>
      </c>
      <c r="H316" s="19" t="s">
        <v>41</v>
      </c>
      <c r="I316" s="19" t="s">
        <v>42</v>
      </c>
      <c r="J316" s="19" t="s">
        <v>43</v>
      </c>
      <c r="K316" s="19" t="s">
        <v>50</v>
      </c>
      <c r="L316" s="19"/>
      <c r="M316" s="19" t="s">
        <v>45</v>
      </c>
      <c r="N316" s="19"/>
      <c r="O316" s="19"/>
      <c r="P316" s="19" t="s">
        <v>9</v>
      </c>
      <c r="Q316" s="19" t="s">
        <v>56</v>
      </c>
      <c r="R316" s="19"/>
    </row>
    <row r="317" spans="1:18">
      <c r="A317" s="19" t="str">
        <f>E317&amp;"_"&amp;COUNTIF(E$3:$E317,E317)&amp;"_"&amp;F317</f>
        <v>47_8_Ossature_contreventement_ext</v>
      </c>
      <c r="B317" s="19">
        <v>315</v>
      </c>
      <c r="C317" s="19" t="s">
        <v>123</v>
      </c>
      <c r="D317" s="19" t="s">
        <v>7</v>
      </c>
      <c r="E317" s="19">
        <v>47</v>
      </c>
      <c r="F317" s="19" t="s">
        <v>39</v>
      </c>
      <c r="G317" s="19" t="s">
        <v>40</v>
      </c>
      <c r="H317" s="19" t="s">
        <v>41</v>
      </c>
      <c r="I317" s="19" t="s">
        <v>42</v>
      </c>
      <c r="J317" s="19" t="s">
        <v>43</v>
      </c>
      <c r="K317" s="19" t="s">
        <v>50</v>
      </c>
      <c r="L317" s="19"/>
      <c r="M317" s="19" t="s">
        <v>45</v>
      </c>
      <c r="N317" s="19"/>
      <c r="O317" s="19"/>
      <c r="P317" s="19" t="s">
        <v>9</v>
      </c>
      <c r="Q317" s="19" t="s">
        <v>57</v>
      </c>
      <c r="R317" s="19"/>
    </row>
    <row r="318" spans="1:18">
      <c r="A318" s="19" t="str">
        <f>E318&amp;"_"&amp;COUNTIF(E$3:$E318,E318)&amp;"_"&amp;F318</f>
        <v>36_41_Ossature_contreventement_ext</v>
      </c>
      <c r="B318" s="19">
        <v>316</v>
      </c>
      <c r="C318" s="19" t="s">
        <v>123</v>
      </c>
      <c r="D318" s="19" t="s">
        <v>7</v>
      </c>
      <c r="E318" s="5">
        <v>36</v>
      </c>
      <c r="F318" s="5" t="s">
        <v>39</v>
      </c>
      <c r="G318" s="5" t="s">
        <v>40</v>
      </c>
      <c r="H318" s="5" t="s">
        <v>41</v>
      </c>
      <c r="I318" s="5" t="s">
        <v>42</v>
      </c>
      <c r="J318" s="5" t="s">
        <v>43</v>
      </c>
      <c r="K318" s="5" t="s">
        <v>50</v>
      </c>
      <c r="L318" s="5"/>
      <c r="M318" s="5" t="s">
        <v>45</v>
      </c>
      <c r="N318" s="5"/>
      <c r="O318" s="5"/>
      <c r="P318" s="5" t="s">
        <v>10</v>
      </c>
      <c r="Q318" s="5" t="s">
        <v>51</v>
      </c>
      <c r="R318" s="5"/>
    </row>
    <row r="319" spans="1:18">
      <c r="A319" s="19" t="str">
        <f>E319&amp;"_"&amp;COUNTIF(E$3:$E319,E319)&amp;"_"&amp;F319</f>
        <v>36_42_Ossature_contreventement_ext</v>
      </c>
      <c r="B319" s="19">
        <v>317</v>
      </c>
      <c r="C319" s="19" t="s">
        <v>123</v>
      </c>
      <c r="D319" s="19" t="s">
        <v>7</v>
      </c>
      <c r="E319" s="5">
        <v>36</v>
      </c>
      <c r="F319" s="5" t="s">
        <v>39</v>
      </c>
      <c r="G319" s="5" t="s">
        <v>40</v>
      </c>
      <c r="H319" s="5" t="s">
        <v>41</v>
      </c>
      <c r="I319" s="5" t="s">
        <v>42</v>
      </c>
      <c r="J319" s="5" t="s">
        <v>43</v>
      </c>
      <c r="K319" s="5" t="s">
        <v>50</v>
      </c>
      <c r="L319" s="5"/>
      <c r="M319" s="5" t="s">
        <v>45</v>
      </c>
      <c r="N319" s="5"/>
      <c r="O319" s="5"/>
      <c r="P319" s="5" t="s">
        <v>10</v>
      </c>
      <c r="Q319" s="5" t="s">
        <v>52</v>
      </c>
      <c r="R319" s="5"/>
    </row>
    <row r="320" spans="1:18">
      <c r="A320" s="19" t="str">
        <f>E320&amp;"_"&amp;COUNTIF(E$3:$E320,E320)&amp;"_"&amp;F320</f>
        <v>37_43_Ossature_contreventement_ext</v>
      </c>
      <c r="B320" s="19">
        <v>318</v>
      </c>
      <c r="C320" s="19" t="s">
        <v>123</v>
      </c>
      <c r="D320" s="19" t="s">
        <v>7</v>
      </c>
      <c r="E320" s="5">
        <v>37</v>
      </c>
      <c r="F320" s="5" t="s">
        <v>39</v>
      </c>
      <c r="G320" s="5" t="s">
        <v>40</v>
      </c>
      <c r="H320" s="5" t="s">
        <v>41</v>
      </c>
      <c r="I320" s="5" t="s">
        <v>42</v>
      </c>
      <c r="J320" s="5" t="s">
        <v>43</v>
      </c>
      <c r="K320" s="5" t="s">
        <v>50</v>
      </c>
      <c r="L320" s="5"/>
      <c r="M320" s="5" t="s">
        <v>45</v>
      </c>
      <c r="N320" s="5"/>
      <c r="O320" s="5"/>
      <c r="P320" s="5" t="s">
        <v>10</v>
      </c>
      <c r="Q320" s="5" t="s">
        <v>53</v>
      </c>
      <c r="R320" s="5"/>
    </row>
    <row r="321" spans="1:18">
      <c r="A321" s="19" t="str">
        <f>E321&amp;"_"&amp;COUNTIF(E$3:$E321,E321)&amp;"_"&amp;F321</f>
        <v>35_33_Ossature_contreventement_ext</v>
      </c>
      <c r="B321" s="19">
        <v>319</v>
      </c>
      <c r="C321" s="19" t="s">
        <v>123</v>
      </c>
      <c r="D321" s="19" t="s">
        <v>7</v>
      </c>
      <c r="E321" s="5">
        <v>35</v>
      </c>
      <c r="F321" s="5" t="s">
        <v>39</v>
      </c>
      <c r="G321" s="5" t="s">
        <v>40</v>
      </c>
      <c r="H321" s="5" t="s">
        <v>41</v>
      </c>
      <c r="I321" s="5" t="s">
        <v>42</v>
      </c>
      <c r="J321" s="5" t="s">
        <v>43</v>
      </c>
      <c r="K321" s="5" t="s">
        <v>50</v>
      </c>
      <c r="L321" s="5"/>
      <c r="M321" s="5" t="s">
        <v>45</v>
      </c>
      <c r="N321" s="5"/>
      <c r="O321" s="5"/>
      <c r="P321" s="5" t="s">
        <v>10</v>
      </c>
      <c r="Q321" s="5" t="s">
        <v>54</v>
      </c>
      <c r="R321" s="5"/>
    </row>
    <row r="322" spans="1:18">
      <c r="A322" s="19" t="str">
        <f>E322&amp;"_"&amp;COUNTIF(E$3:$E322,E322)&amp;"_"&amp;F322</f>
        <v>39_28_Ossature_contreventement_ext</v>
      </c>
      <c r="B322" s="19">
        <v>320</v>
      </c>
      <c r="C322" s="19" t="s">
        <v>123</v>
      </c>
      <c r="D322" s="19" t="s">
        <v>7</v>
      </c>
      <c r="E322" s="5">
        <v>39</v>
      </c>
      <c r="F322" s="5" t="s">
        <v>39</v>
      </c>
      <c r="G322" s="5" t="s">
        <v>40</v>
      </c>
      <c r="H322" s="5" t="s">
        <v>41</v>
      </c>
      <c r="I322" s="5" t="s">
        <v>42</v>
      </c>
      <c r="J322" s="5" t="s">
        <v>43</v>
      </c>
      <c r="K322" s="5" t="s">
        <v>50</v>
      </c>
      <c r="L322" s="5"/>
      <c r="M322" s="5" t="s">
        <v>45</v>
      </c>
      <c r="N322" s="5"/>
      <c r="O322" s="5"/>
      <c r="P322" s="5" t="s">
        <v>10</v>
      </c>
      <c r="Q322" s="5" t="s">
        <v>55</v>
      </c>
      <c r="R322" s="5"/>
    </row>
    <row r="323" spans="1:18">
      <c r="A323" s="19" t="str">
        <f>E323&amp;"_"&amp;COUNTIF(E$3:$E323,E323)&amp;"_"&amp;F323</f>
        <v>48_13_Ossature_contreventement_ext</v>
      </c>
      <c r="B323" s="19">
        <v>321</v>
      </c>
      <c r="C323" s="19" t="s">
        <v>123</v>
      </c>
      <c r="D323" s="19" t="s">
        <v>7</v>
      </c>
      <c r="E323" s="5">
        <v>48</v>
      </c>
      <c r="F323" s="5" t="s">
        <v>39</v>
      </c>
      <c r="G323" s="5" t="s">
        <v>40</v>
      </c>
      <c r="H323" s="5" t="s">
        <v>41</v>
      </c>
      <c r="I323" s="5" t="s">
        <v>42</v>
      </c>
      <c r="J323" s="5" t="s">
        <v>43</v>
      </c>
      <c r="K323" s="5" t="s">
        <v>50</v>
      </c>
      <c r="L323" s="5"/>
      <c r="M323" s="5" t="s">
        <v>45</v>
      </c>
      <c r="N323" s="5"/>
      <c r="O323" s="5"/>
      <c r="P323" s="5" t="s">
        <v>10</v>
      </c>
      <c r="Q323" s="5" t="s">
        <v>56</v>
      </c>
      <c r="R323" s="5"/>
    </row>
    <row r="324" spans="1:18">
      <c r="A324" s="19" t="str">
        <f>E324&amp;"_"&amp;COUNTIF(E$3:$E324,E324)&amp;"_"&amp;F324</f>
        <v>49_46_Ossature_contreventement_ext</v>
      </c>
      <c r="B324" s="19">
        <v>322</v>
      </c>
      <c r="C324" s="19" t="s">
        <v>123</v>
      </c>
      <c r="D324" s="19" t="s">
        <v>7</v>
      </c>
      <c r="E324" s="5">
        <v>49</v>
      </c>
      <c r="F324" s="5" t="s">
        <v>39</v>
      </c>
      <c r="G324" s="5" t="s">
        <v>40</v>
      </c>
      <c r="H324" s="5" t="s">
        <v>41</v>
      </c>
      <c r="I324" s="5" t="s">
        <v>42</v>
      </c>
      <c r="J324" s="5" t="s">
        <v>43</v>
      </c>
      <c r="K324" s="5" t="s">
        <v>50</v>
      </c>
      <c r="L324" s="5"/>
      <c r="M324" s="5" t="s">
        <v>45</v>
      </c>
      <c r="N324" s="5"/>
      <c r="O324" s="5"/>
      <c r="P324" s="5" t="s">
        <v>10</v>
      </c>
      <c r="Q324" s="5" t="s">
        <v>57</v>
      </c>
      <c r="R324" s="5"/>
    </row>
    <row r="325" spans="1:18">
      <c r="A325" s="19" t="str">
        <f>E325&amp;"_"&amp;COUNTIF(E$3:$E325,E325)&amp;"_"&amp;F325</f>
        <v>35_34_Ossature_contreventement_ext</v>
      </c>
      <c r="B325" s="19">
        <v>323</v>
      </c>
      <c r="C325" s="19" t="s">
        <v>123</v>
      </c>
      <c r="D325" s="19" t="s">
        <v>7</v>
      </c>
      <c r="E325" s="19">
        <v>35</v>
      </c>
      <c r="F325" s="19" t="s">
        <v>39</v>
      </c>
      <c r="G325" s="19" t="s">
        <v>40</v>
      </c>
      <c r="H325" s="19" t="s">
        <v>41</v>
      </c>
      <c r="I325" s="19" t="s">
        <v>42</v>
      </c>
      <c r="J325" s="19" t="s">
        <v>43</v>
      </c>
      <c r="K325" s="19" t="s">
        <v>50</v>
      </c>
      <c r="L325" s="19"/>
      <c r="M325" s="19" t="s">
        <v>45</v>
      </c>
      <c r="N325" s="19"/>
      <c r="O325" s="19"/>
      <c r="P325" s="19" t="s">
        <v>11</v>
      </c>
      <c r="Q325" s="19" t="s">
        <v>51</v>
      </c>
      <c r="R325" s="19"/>
    </row>
    <row r="326" spans="1:18">
      <c r="A326" s="19" t="str">
        <f>E326&amp;"_"&amp;COUNTIF(E$3:$E326,E326)&amp;"_"&amp;F326</f>
        <v>35_35_Ossature_contreventement_ext</v>
      </c>
      <c r="B326" s="19">
        <v>324</v>
      </c>
      <c r="C326" s="19" t="s">
        <v>123</v>
      </c>
      <c r="D326" s="19" t="s">
        <v>7</v>
      </c>
      <c r="E326" s="19">
        <v>35</v>
      </c>
      <c r="F326" s="19" t="s">
        <v>39</v>
      </c>
      <c r="G326" s="19" t="s">
        <v>40</v>
      </c>
      <c r="H326" s="19" t="s">
        <v>41</v>
      </c>
      <c r="I326" s="19" t="s">
        <v>42</v>
      </c>
      <c r="J326" s="19" t="s">
        <v>43</v>
      </c>
      <c r="K326" s="19" t="s">
        <v>50</v>
      </c>
      <c r="L326" s="19"/>
      <c r="M326" s="19" t="s">
        <v>45</v>
      </c>
      <c r="N326" s="19"/>
      <c r="O326" s="19"/>
      <c r="P326" s="19" t="s">
        <v>11</v>
      </c>
      <c r="Q326" s="19" t="s">
        <v>52</v>
      </c>
      <c r="R326" s="19"/>
    </row>
    <row r="327" spans="1:18">
      <c r="A327" s="19" t="str">
        <f>E327&amp;"_"&amp;COUNTIF(E$3:$E327,E327)&amp;"_"&amp;F327</f>
        <v>36_43_Ossature_contreventement_ext</v>
      </c>
      <c r="B327" s="19">
        <v>325</v>
      </c>
      <c r="C327" s="19" t="s">
        <v>123</v>
      </c>
      <c r="D327" s="19" t="s">
        <v>7</v>
      </c>
      <c r="E327" s="19">
        <v>36</v>
      </c>
      <c r="F327" s="19" t="s">
        <v>39</v>
      </c>
      <c r="G327" s="19" t="s">
        <v>40</v>
      </c>
      <c r="H327" s="19" t="s">
        <v>41</v>
      </c>
      <c r="I327" s="19" t="s">
        <v>42</v>
      </c>
      <c r="J327" s="19" t="s">
        <v>43</v>
      </c>
      <c r="K327" s="19" t="s">
        <v>50</v>
      </c>
      <c r="L327" s="19"/>
      <c r="M327" s="19" t="s">
        <v>45</v>
      </c>
      <c r="N327" s="19"/>
      <c r="O327" s="19"/>
      <c r="P327" s="19" t="s">
        <v>11</v>
      </c>
      <c r="Q327" s="19" t="s">
        <v>53</v>
      </c>
      <c r="R327" s="19"/>
    </row>
    <row r="328" spans="1:18">
      <c r="A328" s="19" t="str">
        <f>E328&amp;"_"&amp;COUNTIF(E$3:$E328,E328)&amp;"_"&amp;F328</f>
        <v>34_21_Ossature_contreventement_ext</v>
      </c>
      <c r="B328" s="19">
        <v>326</v>
      </c>
      <c r="C328" s="19" t="s">
        <v>123</v>
      </c>
      <c r="D328" s="19" t="s">
        <v>7</v>
      </c>
      <c r="E328" s="19">
        <v>34</v>
      </c>
      <c r="F328" s="19" t="s">
        <v>39</v>
      </c>
      <c r="G328" s="19" t="s">
        <v>40</v>
      </c>
      <c r="H328" s="19" t="s">
        <v>41</v>
      </c>
      <c r="I328" s="19" t="s">
        <v>42</v>
      </c>
      <c r="J328" s="19" t="s">
        <v>43</v>
      </c>
      <c r="K328" s="19" t="s">
        <v>50</v>
      </c>
      <c r="L328" s="19"/>
      <c r="M328" s="19" t="s">
        <v>45</v>
      </c>
      <c r="N328" s="19"/>
      <c r="O328" s="19"/>
      <c r="P328" s="19" t="s">
        <v>11</v>
      </c>
      <c r="Q328" s="19" t="s">
        <v>54</v>
      </c>
      <c r="R328" s="19"/>
    </row>
    <row r="329" spans="1:18">
      <c r="A329" s="19" t="str">
        <f>E329&amp;"_"&amp;COUNTIF(E$3:$E329,E329)&amp;"_"&amp;F329</f>
        <v>38_38_Ossature_contreventement_ext</v>
      </c>
      <c r="B329" s="19">
        <v>327</v>
      </c>
      <c r="C329" s="19" t="s">
        <v>123</v>
      </c>
      <c r="D329" s="19" t="s">
        <v>7</v>
      </c>
      <c r="E329" s="19">
        <v>38</v>
      </c>
      <c r="F329" s="19" t="s">
        <v>39</v>
      </c>
      <c r="G329" s="19" t="s">
        <v>40</v>
      </c>
      <c r="H329" s="19" t="s">
        <v>41</v>
      </c>
      <c r="I329" s="19" t="s">
        <v>42</v>
      </c>
      <c r="J329" s="19" t="s">
        <v>43</v>
      </c>
      <c r="K329" s="19" t="s">
        <v>50</v>
      </c>
      <c r="L329" s="19"/>
      <c r="M329" s="19" t="s">
        <v>45</v>
      </c>
      <c r="N329" s="19"/>
      <c r="O329" s="19"/>
      <c r="P329" s="19" t="s">
        <v>11</v>
      </c>
      <c r="Q329" s="19" t="s">
        <v>55</v>
      </c>
      <c r="R329" s="19"/>
    </row>
    <row r="330" spans="1:18">
      <c r="A330" s="19" t="str">
        <f>E330&amp;"_"&amp;COUNTIF(E$3:$E330,E330)&amp;"_"&amp;F330</f>
        <v>47_9_Ossature_contreventement_ext</v>
      </c>
      <c r="B330" s="19">
        <v>328</v>
      </c>
      <c r="C330" s="19" t="s">
        <v>123</v>
      </c>
      <c r="D330" s="19" t="s">
        <v>7</v>
      </c>
      <c r="E330" s="19">
        <v>47</v>
      </c>
      <c r="F330" s="19" t="s">
        <v>39</v>
      </c>
      <c r="G330" s="19" t="s">
        <v>40</v>
      </c>
      <c r="H330" s="19" t="s">
        <v>41</v>
      </c>
      <c r="I330" s="19" t="s">
        <v>42</v>
      </c>
      <c r="J330" s="19" t="s">
        <v>43</v>
      </c>
      <c r="K330" s="19" t="s">
        <v>50</v>
      </c>
      <c r="L330" s="19"/>
      <c r="M330" s="19" t="s">
        <v>45</v>
      </c>
      <c r="N330" s="19"/>
      <c r="O330" s="19"/>
      <c r="P330" s="19" t="s">
        <v>11</v>
      </c>
      <c r="Q330" s="19" t="s">
        <v>56</v>
      </c>
      <c r="R330" s="19"/>
    </row>
    <row r="331" spans="1:18">
      <c r="A331" s="19" t="str">
        <f>E331&amp;"_"&amp;COUNTIF(E$3:$E331,E331)&amp;"_"&amp;F331</f>
        <v>48_14_Ossature_contreventement_ext</v>
      </c>
      <c r="B331" s="19">
        <v>329</v>
      </c>
      <c r="C331" s="19" t="s">
        <v>123</v>
      </c>
      <c r="D331" s="19" t="s">
        <v>7</v>
      </c>
      <c r="E331" s="19">
        <v>48</v>
      </c>
      <c r="F331" s="19" t="s">
        <v>39</v>
      </c>
      <c r="G331" s="19" t="s">
        <v>40</v>
      </c>
      <c r="H331" s="19" t="s">
        <v>41</v>
      </c>
      <c r="I331" s="19" t="s">
        <v>42</v>
      </c>
      <c r="J331" s="19" t="s">
        <v>43</v>
      </c>
      <c r="K331" s="19" t="s">
        <v>50</v>
      </c>
      <c r="L331" s="19"/>
      <c r="M331" s="19" t="s">
        <v>45</v>
      </c>
      <c r="N331" s="19"/>
      <c r="O331" s="19"/>
      <c r="P331" s="19" t="s">
        <v>11</v>
      </c>
      <c r="Q331" s="19" t="s">
        <v>57</v>
      </c>
      <c r="R331" s="19"/>
    </row>
    <row r="332" spans="1:18">
      <c r="A332" s="19" t="str">
        <f>E332&amp;"_"&amp;COUNTIF(E$3:$E332,E332)&amp;"_"&amp;F332</f>
        <v>36_44_Ossature_contreventement_ext</v>
      </c>
      <c r="B332" s="19">
        <v>330</v>
      </c>
      <c r="C332" s="19" t="s">
        <v>123</v>
      </c>
      <c r="D332" s="19" t="s">
        <v>7</v>
      </c>
      <c r="E332" s="5">
        <v>36</v>
      </c>
      <c r="F332" s="5" t="s">
        <v>39</v>
      </c>
      <c r="G332" s="5" t="s">
        <v>40</v>
      </c>
      <c r="H332" s="5" t="s">
        <v>41</v>
      </c>
      <c r="I332" s="5" t="s">
        <v>42</v>
      </c>
      <c r="J332" s="5" t="s">
        <v>43</v>
      </c>
      <c r="K332" s="5" t="s">
        <v>50</v>
      </c>
      <c r="L332" s="5"/>
      <c r="M332" s="5" t="s">
        <v>45</v>
      </c>
      <c r="N332" s="5"/>
      <c r="O332" s="5"/>
      <c r="P332" s="5" t="s">
        <v>12</v>
      </c>
      <c r="Q332" s="5" t="s">
        <v>51</v>
      </c>
      <c r="R332" s="5"/>
    </row>
    <row r="333" spans="1:18">
      <c r="A333" s="19" t="str">
        <f>E333&amp;"_"&amp;COUNTIF(E$3:$E333,E333)&amp;"_"&amp;F333</f>
        <v>36_45_Ossature_contreventement_ext</v>
      </c>
      <c r="B333" s="19">
        <v>331</v>
      </c>
      <c r="C333" s="19" t="s">
        <v>123</v>
      </c>
      <c r="D333" s="19" t="s">
        <v>7</v>
      </c>
      <c r="E333" s="5">
        <v>36</v>
      </c>
      <c r="F333" s="5" t="s">
        <v>39</v>
      </c>
      <c r="G333" s="5" t="s">
        <v>40</v>
      </c>
      <c r="H333" s="5" t="s">
        <v>41</v>
      </c>
      <c r="I333" s="5" t="s">
        <v>42</v>
      </c>
      <c r="J333" s="5" t="s">
        <v>43</v>
      </c>
      <c r="K333" s="5" t="s">
        <v>50</v>
      </c>
      <c r="L333" s="5"/>
      <c r="M333" s="5" t="s">
        <v>45</v>
      </c>
      <c r="N333" s="5"/>
      <c r="O333" s="5"/>
      <c r="P333" s="5" t="s">
        <v>12</v>
      </c>
      <c r="Q333" s="5" t="s">
        <v>52</v>
      </c>
      <c r="R333" s="5"/>
    </row>
    <row r="334" spans="1:18">
      <c r="A334" s="19" t="str">
        <f>E334&amp;"_"&amp;COUNTIF(E$3:$E334,E334)&amp;"_"&amp;F334</f>
        <v>37_44_Ossature_contreventement_ext</v>
      </c>
      <c r="B334" s="19">
        <v>332</v>
      </c>
      <c r="C334" s="19" t="s">
        <v>123</v>
      </c>
      <c r="D334" s="19" t="s">
        <v>7</v>
      </c>
      <c r="E334" s="5">
        <v>37</v>
      </c>
      <c r="F334" s="5" t="s">
        <v>39</v>
      </c>
      <c r="G334" s="5" t="s">
        <v>40</v>
      </c>
      <c r="H334" s="5" t="s">
        <v>41</v>
      </c>
      <c r="I334" s="5" t="s">
        <v>42</v>
      </c>
      <c r="J334" s="5" t="s">
        <v>43</v>
      </c>
      <c r="K334" s="5" t="s">
        <v>50</v>
      </c>
      <c r="L334" s="5"/>
      <c r="M334" s="5" t="s">
        <v>45</v>
      </c>
      <c r="N334" s="5"/>
      <c r="O334" s="5"/>
      <c r="P334" s="5" t="s">
        <v>12</v>
      </c>
      <c r="Q334" s="5" t="s">
        <v>53</v>
      </c>
      <c r="R334" s="5"/>
    </row>
    <row r="335" spans="1:18">
      <c r="A335" s="19" t="str">
        <f>E335&amp;"_"&amp;COUNTIF(E$3:$E335,E335)&amp;"_"&amp;F335</f>
        <v>35_36_Ossature_contreventement_ext</v>
      </c>
      <c r="B335" s="19">
        <v>333</v>
      </c>
      <c r="C335" s="19" t="s">
        <v>123</v>
      </c>
      <c r="D335" s="19" t="s">
        <v>7</v>
      </c>
      <c r="E335" s="5">
        <v>35</v>
      </c>
      <c r="F335" s="5" t="s">
        <v>39</v>
      </c>
      <c r="G335" s="5" t="s">
        <v>40</v>
      </c>
      <c r="H335" s="5" t="s">
        <v>41</v>
      </c>
      <c r="I335" s="5" t="s">
        <v>42</v>
      </c>
      <c r="J335" s="5" t="s">
        <v>43</v>
      </c>
      <c r="K335" s="5" t="s">
        <v>50</v>
      </c>
      <c r="L335" s="5"/>
      <c r="M335" s="5" t="s">
        <v>45</v>
      </c>
      <c r="N335" s="5"/>
      <c r="O335" s="5"/>
      <c r="P335" s="5" t="s">
        <v>12</v>
      </c>
      <c r="Q335" s="5" t="s">
        <v>54</v>
      </c>
      <c r="R335" s="5"/>
    </row>
    <row r="336" spans="1:18">
      <c r="A336" s="19" t="str">
        <f>E336&amp;"_"&amp;COUNTIF(E$3:$E336,E336)&amp;"_"&amp;F336</f>
        <v>39_29_Ossature_contreventement_ext</v>
      </c>
      <c r="B336" s="19">
        <v>334</v>
      </c>
      <c r="C336" s="19" t="s">
        <v>123</v>
      </c>
      <c r="D336" s="19" t="s">
        <v>7</v>
      </c>
      <c r="E336" s="5">
        <v>39</v>
      </c>
      <c r="F336" s="5" t="s">
        <v>39</v>
      </c>
      <c r="G336" s="5" t="s">
        <v>40</v>
      </c>
      <c r="H336" s="5" t="s">
        <v>41</v>
      </c>
      <c r="I336" s="5" t="s">
        <v>42</v>
      </c>
      <c r="J336" s="5" t="s">
        <v>43</v>
      </c>
      <c r="K336" s="5" t="s">
        <v>50</v>
      </c>
      <c r="L336" s="5"/>
      <c r="M336" s="5" t="s">
        <v>45</v>
      </c>
      <c r="N336" s="5"/>
      <c r="O336" s="5"/>
      <c r="P336" s="5" t="s">
        <v>12</v>
      </c>
      <c r="Q336" s="5" t="s">
        <v>55</v>
      </c>
      <c r="R336" s="5"/>
    </row>
    <row r="337" spans="1:18">
      <c r="A337" s="19" t="str">
        <f>E337&amp;"_"&amp;COUNTIF(E$3:$E337,E337)&amp;"_"&amp;F337</f>
        <v>48_15_Ossature_contreventement_ext</v>
      </c>
      <c r="B337" s="19">
        <v>335</v>
      </c>
      <c r="C337" s="19" t="s">
        <v>123</v>
      </c>
      <c r="D337" s="19" t="s">
        <v>7</v>
      </c>
      <c r="E337" s="5">
        <v>48</v>
      </c>
      <c r="F337" s="5" t="s">
        <v>39</v>
      </c>
      <c r="G337" s="5" t="s">
        <v>40</v>
      </c>
      <c r="H337" s="5" t="s">
        <v>41</v>
      </c>
      <c r="I337" s="5" t="s">
        <v>42</v>
      </c>
      <c r="J337" s="5" t="s">
        <v>43</v>
      </c>
      <c r="K337" s="5" t="s">
        <v>50</v>
      </c>
      <c r="L337" s="5"/>
      <c r="M337" s="5" t="s">
        <v>45</v>
      </c>
      <c r="N337" s="5"/>
      <c r="O337" s="5"/>
      <c r="P337" s="5" t="s">
        <v>12</v>
      </c>
      <c r="Q337" s="5" t="s">
        <v>56</v>
      </c>
      <c r="R337" s="5"/>
    </row>
    <row r="338" spans="1:18">
      <c r="A338" s="19" t="str">
        <f>E338&amp;"_"&amp;COUNTIF(E$3:$E338,E338)&amp;"_"&amp;F338</f>
        <v>49_47_Ossature_contreventement_ext</v>
      </c>
      <c r="B338" s="19">
        <v>336</v>
      </c>
      <c r="C338" s="19" t="s">
        <v>123</v>
      </c>
      <c r="D338" s="19" t="s">
        <v>7</v>
      </c>
      <c r="E338" s="5">
        <v>49</v>
      </c>
      <c r="F338" s="5" t="s">
        <v>39</v>
      </c>
      <c r="G338" s="5" t="s">
        <v>40</v>
      </c>
      <c r="H338" s="5" t="s">
        <v>41</v>
      </c>
      <c r="I338" s="5" t="s">
        <v>42</v>
      </c>
      <c r="J338" s="5" t="s">
        <v>43</v>
      </c>
      <c r="K338" s="5" t="s">
        <v>50</v>
      </c>
      <c r="L338" s="5"/>
      <c r="M338" s="5" t="s">
        <v>45</v>
      </c>
      <c r="N338" s="5"/>
      <c r="O338" s="5"/>
      <c r="P338" s="5" t="s">
        <v>12</v>
      </c>
      <c r="Q338" s="5" t="s">
        <v>57</v>
      </c>
      <c r="R338" s="5"/>
    </row>
    <row r="339" spans="1:18">
      <c r="A339" s="19" t="str">
        <f>E339&amp;"_"&amp;COUNTIF(E$3:$E339,E339)&amp;"_"&amp;F339</f>
        <v>38_39_Ossature_contreventement_ext</v>
      </c>
      <c r="B339" s="19">
        <v>337</v>
      </c>
      <c r="C339" s="19" t="s">
        <v>123</v>
      </c>
      <c r="D339" s="19" t="s">
        <v>7</v>
      </c>
      <c r="E339" s="19">
        <v>38</v>
      </c>
      <c r="F339" s="19" t="s">
        <v>39</v>
      </c>
      <c r="G339" s="19" t="s">
        <v>40</v>
      </c>
      <c r="H339" s="19" t="s">
        <v>41</v>
      </c>
      <c r="I339" s="19" t="s">
        <v>42</v>
      </c>
      <c r="J339" s="19" t="s">
        <v>43</v>
      </c>
      <c r="K339" s="19" t="s">
        <v>50</v>
      </c>
      <c r="L339" s="19"/>
      <c r="M339" s="19" t="s">
        <v>45</v>
      </c>
      <c r="N339" s="19"/>
      <c r="O339" s="19"/>
      <c r="P339" s="19" t="s">
        <v>13</v>
      </c>
      <c r="Q339" s="19" t="s">
        <v>51</v>
      </c>
      <c r="R339" s="19"/>
    </row>
    <row r="340" spans="1:18">
      <c r="A340" s="19" t="str">
        <f>E340&amp;"_"&amp;COUNTIF(E$3:$E340,E340)&amp;"_"&amp;F340</f>
        <v>38_40_Ossature_contreventement_ext</v>
      </c>
      <c r="B340" s="19">
        <v>338</v>
      </c>
      <c r="C340" s="19" t="s">
        <v>123</v>
      </c>
      <c r="D340" s="19" t="s">
        <v>7</v>
      </c>
      <c r="E340" s="19">
        <v>38</v>
      </c>
      <c r="F340" s="19" t="s">
        <v>39</v>
      </c>
      <c r="G340" s="19" t="s">
        <v>40</v>
      </c>
      <c r="H340" s="19" t="s">
        <v>41</v>
      </c>
      <c r="I340" s="19" t="s">
        <v>42</v>
      </c>
      <c r="J340" s="19" t="s">
        <v>43</v>
      </c>
      <c r="K340" s="19" t="s">
        <v>50</v>
      </c>
      <c r="L340" s="19"/>
      <c r="M340" s="19" t="s">
        <v>45</v>
      </c>
      <c r="N340" s="19"/>
      <c r="O340" s="19"/>
      <c r="P340" s="19" t="s">
        <v>13</v>
      </c>
      <c r="Q340" s="19" t="s">
        <v>52</v>
      </c>
      <c r="R340" s="19"/>
    </row>
    <row r="341" spans="1:18">
      <c r="A341" s="19" t="str">
        <f>E341&amp;"_"&amp;COUNTIF(E$3:$E341,E341)&amp;"_"&amp;F341</f>
        <v>39_30_Ossature_contreventement_ext</v>
      </c>
      <c r="B341" s="19">
        <v>339</v>
      </c>
      <c r="C341" s="19" t="s">
        <v>123</v>
      </c>
      <c r="D341" s="19" t="s">
        <v>7</v>
      </c>
      <c r="E341" s="19">
        <v>39</v>
      </c>
      <c r="F341" s="19" t="s">
        <v>39</v>
      </c>
      <c r="G341" s="19" t="s">
        <v>40</v>
      </c>
      <c r="H341" s="19" t="s">
        <v>41</v>
      </c>
      <c r="I341" s="19" t="s">
        <v>42</v>
      </c>
      <c r="J341" s="19" t="s">
        <v>43</v>
      </c>
      <c r="K341" s="19" t="s">
        <v>50</v>
      </c>
      <c r="L341" s="19"/>
      <c r="M341" s="19" t="s">
        <v>45</v>
      </c>
      <c r="N341" s="19"/>
      <c r="O341" s="19"/>
      <c r="P341" s="19" t="s">
        <v>13</v>
      </c>
      <c r="Q341" s="19" t="s">
        <v>53</v>
      </c>
      <c r="R341" s="19"/>
    </row>
    <row r="342" spans="1:18">
      <c r="A342" s="19" t="str">
        <f>E342&amp;"_"&amp;COUNTIF(E$3:$E342,E342)&amp;"_"&amp;F342</f>
        <v>37_45_Ossature_contreventement_ext</v>
      </c>
      <c r="B342" s="19">
        <v>340</v>
      </c>
      <c r="C342" s="19" t="s">
        <v>123</v>
      </c>
      <c r="D342" s="19" t="s">
        <v>7</v>
      </c>
      <c r="E342" s="19">
        <v>37</v>
      </c>
      <c r="F342" s="19" t="s">
        <v>39</v>
      </c>
      <c r="G342" s="19" t="s">
        <v>40</v>
      </c>
      <c r="H342" s="19" t="s">
        <v>41</v>
      </c>
      <c r="I342" s="19" t="s">
        <v>42</v>
      </c>
      <c r="J342" s="19" t="s">
        <v>43</v>
      </c>
      <c r="K342" s="19" t="s">
        <v>50</v>
      </c>
      <c r="L342" s="19"/>
      <c r="M342" s="19" t="s">
        <v>45</v>
      </c>
      <c r="N342" s="19"/>
      <c r="O342" s="19"/>
      <c r="P342" s="19" t="s">
        <v>13</v>
      </c>
      <c r="Q342" s="19" t="s">
        <v>54</v>
      </c>
      <c r="R342" s="19"/>
    </row>
    <row r="343" spans="1:18">
      <c r="A343" s="19" t="str">
        <f>E343&amp;"_"&amp;COUNTIF(E$3:$E343,E343)&amp;"_"&amp;F343</f>
        <v>41_12_Ossature_contreventement_ext</v>
      </c>
      <c r="B343" s="19">
        <v>341</v>
      </c>
      <c r="C343" s="19" t="s">
        <v>123</v>
      </c>
      <c r="D343" s="19" t="s">
        <v>7</v>
      </c>
      <c r="E343" s="19">
        <v>41</v>
      </c>
      <c r="F343" s="19" t="s">
        <v>39</v>
      </c>
      <c r="G343" s="19" t="s">
        <v>40</v>
      </c>
      <c r="H343" s="19" t="s">
        <v>41</v>
      </c>
      <c r="I343" s="19" t="s">
        <v>42</v>
      </c>
      <c r="J343" s="19" t="s">
        <v>43</v>
      </c>
      <c r="K343" s="19" t="s">
        <v>50</v>
      </c>
      <c r="L343" s="19"/>
      <c r="M343" s="19" t="s">
        <v>45</v>
      </c>
      <c r="N343" s="19"/>
      <c r="O343" s="19"/>
      <c r="P343" s="19" t="s">
        <v>13</v>
      </c>
      <c r="Q343" s="19" t="s">
        <v>55</v>
      </c>
      <c r="R343" s="19"/>
    </row>
    <row r="344" spans="1:18">
      <c r="A344" s="19" t="str">
        <f>E344&amp;"_"&amp;COUNTIF(E$3:$E344,E344)&amp;"_"&amp;F344</f>
        <v>49_48_Ossature_contreventement_ext</v>
      </c>
      <c r="B344" s="19">
        <v>342</v>
      </c>
      <c r="C344" s="19" t="s">
        <v>123</v>
      </c>
      <c r="D344" s="19" t="s">
        <v>7</v>
      </c>
      <c r="E344" s="19">
        <v>49</v>
      </c>
      <c r="F344" s="19" t="s">
        <v>39</v>
      </c>
      <c r="G344" s="19" t="s">
        <v>40</v>
      </c>
      <c r="H344" s="19" t="s">
        <v>41</v>
      </c>
      <c r="I344" s="19" t="s">
        <v>42</v>
      </c>
      <c r="J344" s="19" t="s">
        <v>43</v>
      </c>
      <c r="K344" s="19" t="s">
        <v>50</v>
      </c>
      <c r="L344" s="19"/>
      <c r="M344" s="19" t="s">
        <v>45</v>
      </c>
      <c r="N344" s="19"/>
      <c r="O344" s="19"/>
      <c r="P344" s="19" t="s">
        <v>13</v>
      </c>
      <c r="Q344" s="19" t="s">
        <v>56</v>
      </c>
      <c r="R344" s="19"/>
    </row>
    <row r="345" spans="1:18">
      <c r="A345" s="19" t="str">
        <f>E345&amp;"_"&amp;COUNTIF(E$3:$E345,E345)&amp;"_"&amp;F345</f>
        <v>49_49_Ossature_contreventement_ext</v>
      </c>
      <c r="B345" s="19">
        <v>343</v>
      </c>
      <c r="C345" s="19" t="s">
        <v>123</v>
      </c>
      <c r="D345" s="19" t="s">
        <v>7</v>
      </c>
      <c r="E345" s="19">
        <v>49</v>
      </c>
      <c r="F345" s="19" t="s">
        <v>39</v>
      </c>
      <c r="G345" s="19" t="s">
        <v>40</v>
      </c>
      <c r="H345" s="19" t="s">
        <v>41</v>
      </c>
      <c r="I345" s="19" t="s">
        <v>42</v>
      </c>
      <c r="J345" s="19" t="s">
        <v>43</v>
      </c>
      <c r="K345" s="19" t="s">
        <v>50</v>
      </c>
      <c r="L345" s="19"/>
      <c r="M345" s="19" t="s">
        <v>45</v>
      </c>
      <c r="N345" s="19"/>
      <c r="O345" s="19"/>
      <c r="P345" s="19" t="s">
        <v>13</v>
      </c>
      <c r="Q345" s="19" t="s">
        <v>57</v>
      </c>
      <c r="R345" s="19"/>
    </row>
    <row r="346" spans="1:18">
      <c r="A346" s="19" t="str">
        <f>E346&amp;"_"&amp;COUNTIF(E$3:$E346,E346)&amp;"_"&amp;F346</f>
        <v>39_31_Ossature_contreventement_ext</v>
      </c>
      <c r="B346" s="19">
        <v>344</v>
      </c>
      <c r="C346" s="19" t="s">
        <v>123</v>
      </c>
      <c r="D346" s="19" t="s">
        <v>7</v>
      </c>
      <c r="E346" s="5">
        <v>39</v>
      </c>
      <c r="F346" s="5" t="s">
        <v>39</v>
      </c>
      <c r="G346" s="5" t="s">
        <v>40</v>
      </c>
      <c r="H346" s="5" t="s">
        <v>41</v>
      </c>
      <c r="I346" s="5" t="s">
        <v>42</v>
      </c>
      <c r="J346" s="5" t="s">
        <v>43</v>
      </c>
      <c r="K346" s="5" t="s">
        <v>50</v>
      </c>
      <c r="L346" s="5"/>
      <c r="M346" s="5" t="s">
        <v>45</v>
      </c>
      <c r="N346" s="5"/>
      <c r="O346" s="5"/>
      <c r="P346" s="5" t="s">
        <v>14</v>
      </c>
      <c r="Q346" s="5" t="s">
        <v>51</v>
      </c>
      <c r="R346" s="5"/>
    </row>
    <row r="347" spans="1:18">
      <c r="A347" s="19" t="str">
        <f>E347&amp;"_"&amp;COUNTIF(E$3:$E347,E347)&amp;"_"&amp;F347</f>
        <v>39_32_Ossature_contreventement_ext</v>
      </c>
      <c r="B347" s="19">
        <v>345</v>
      </c>
      <c r="C347" s="19" t="s">
        <v>123</v>
      </c>
      <c r="D347" s="19" t="s">
        <v>7</v>
      </c>
      <c r="E347" s="5">
        <v>39</v>
      </c>
      <c r="F347" s="5" t="s">
        <v>39</v>
      </c>
      <c r="G347" s="5" t="s">
        <v>40</v>
      </c>
      <c r="H347" s="5" t="s">
        <v>41</v>
      </c>
      <c r="I347" s="5" t="s">
        <v>42</v>
      </c>
      <c r="J347" s="5" t="s">
        <v>43</v>
      </c>
      <c r="K347" s="5" t="s">
        <v>50</v>
      </c>
      <c r="L347" s="5"/>
      <c r="M347" s="5" t="s">
        <v>45</v>
      </c>
      <c r="N347" s="5"/>
      <c r="O347" s="5"/>
      <c r="P347" s="5" t="s">
        <v>14</v>
      </c>
      <c r="Q347" s="5" t="s">
        <v>52</v>
      </c>
      <c r="R347" s="5"/>
    </row>
    <row r="348" spans="1:18">
      <c r="A348" s="19" t="str">
        <f>E348&amp;"_"&amp;COUNTIF(E$3:$E348,E348)&amp;"_"&amp;F348</f>
        <v>40_19_Ossature_contreventement_ext</v>
      </c>
      <c r="B348" s="19">
        <v>346</v>
      </c>
      <c r="C348" s="19" t="s">
        <v>123</v>
      </c>
      <c r="D348" s="19" t="s">
        <v>7</v>
      </c>
      <c r="E348" s="5">
        <v>40</v>
      </c>
      <c r="F348" s="5" t="s">
        <v>39</v>
      </c>
      <c r="G348" s="5" t="s">
        <v>40</v>
      </c>
      <c r="H348" s="5" t="s">
        <v>41</v>
      </c>
      <c r="I348" s="5" t="s">
        <v>42</v>
      </c>
      <c r="J348" s="5" t="s">
        <v>43</v>
      </c>
      <c r="K348" s="5" t="s">
        <v>50</v>
      </c>
      <c r="L348" s="5"/>
      <c r="M348" s="5" t="s">
        <v>45</v>
      </c>
      <c r="N348" s="5"/>
      <c r="O348" s="5"/>
      <c r="P348" s="5" t="s">
        <v>14</v>
      </c>
      <c r="Q348" s="5" t="s">
        <v>53</v>
      </c>
      <c r="R348" s="5"/>
    </row>
    <row r="349" spans="1:18">
      <c r="A349" s="19" t="str">
        <f>E349&amp;"_"&amp;COUNTIF(E$3:$E349,E349)&amp;"_"&amp;F349</f>
        <v>38_41_Ossature_contreventement_ext</v>
      </c>
      <c r="B349" s="19">
        <v>347</v>
      </c>
      <c r="C349" s="19" t="s">
        <v>123</v>
      </c>
      <c r="D349" s="19" t="s">
        <v>7</v>
      </c>
      <c r="E349" s="5">
        <v>38</v>
      </c>
      <c r="F349" s="5" t="s">
        <v>39</v>
      </c>
      <c r="G349" s="5" t="s">
        <v>40</v>
      </c>
      <c r="H349" s="5" t="s">
        <v>41</v>
      </c>
      <c r="I349" s="5" t="s">
        <v>42</v>
      </c>
      <c r="J349" s="5" t="s">
        <v>43</v>
      </c>
      <c r="K349" s="5" t="s">
        <v>50</v>
      </c>
      <c r="L349" s="5"/>
      <c r="M349" s="5" t="s">
        <v>45</v>
      </c>
      <c r="N349" s="5"/>
      <c r="O349" s="5"/>
      <c r="P349" s="5" t="s">
        <v>14</v>
      </c>
      <c r="Q349" s="5" t="s">
        <v>54</v>
      </c>
      <c r="R349" s="5"/>
    </row>
    <row r="350" spans="1:18">
      <c r="A350" s="19" t="str">
        <f>E350&amp;"_"&amp;COUNTIF(E$3:$E350,E350)&amp;"_"&amp;F350</f>
        <v>42_5_Ossature_contreventement_ext</v>
      </c>
      <c r="B350" s="19">
        <v>348</v>
      </c>
      <c r="C350" s="19" t="s">
        <v>123</v>
      </c>
      <c r="D350" s="19" t="s">
        <v>7</v>
      </c>
      <c r="E350" s="5">
        <v>42</v>
      </c>
      <c r="F350" s="5" t="s">
        <v>39</v>
      </c>
      <c r="G350" s="5" t="s">
        <v>40</v>
      </c>
      <c r="H350" s="5" t="s">
        <v>41</v>
      </c>
      <c r="I350" s="5" t="s">
        <v>42</v>
      </c>
      <c r="J350" s="5" t="s">
        <v>43</v>
      </c>
      <c r="K350" s="5" t="s">
        <v>50</v>
      </c>
      <c r="L350" s="5"/>
      <c r="M350" s="5" t="s">
        <v>45</v>
      </c>
      <c r="N350" s="5"/>
      <c r="O350" s="5"/>
      <c r="P350" s="5" t="s">
        <v>14</v>
      </c>
      <c r="Q350" s="5" t="s">
        <v>55</v>
      </c>
      <c r="R350" s="5"/>
    </row>
    <row r="351" spans="1:18">
      <c r="A351" s="19" t="str">
        <f>E351&amp;"_"&amp;COUNTIF(E$3:$E351,E351)&amp;"_"&amp;F351</f>
        <v>49_50_Ossature_contreventement_ext</v>
      </c>
      <c r="B351" s="19">
        <v>349</v>
      </c>
      <c r="C351" s="19" t="s">
        <v>123</v>
      </c>
      <c r="D351" s="19" t="s">
        <v>7</v>
      </c>
      <c r="E351" s="5">
        <v>49</v>
      </c>
      <c r="F351" s="5" t="s">
        <v>39</v>
      </c>
      <c r="G351" s="5" t="s">
        <v>40</v>
      </c>
      <c r="H351" s="5" t="s">
        <v>41</v>
      </c>
      <c r="I351" s="5" t="s">
        <v>42</v>
      </c>
      <c r="J351" s="5" t="s">
        <v>43</v>
      </c>
      <c r="K351" s="5" t="s">
        <v>50</v>
      </c>
      <c r="L351" s="5"/>
      <c r="M351" s="5" t="s">
        <v>45</v>
      </c>
      <c r="N351" s="5"/>
      <c r="O351" s="5"/>
      <c r="P351" s="5" t="s">
        <v>14</v>
      </c>
      <c r="Q351" s="5" t="s">
        <v>56</v>
      </c>
      <c r="R351" s="5"/>
    </row>
    <row r="352" spans="1:18">
      <c r="A352" s="19" t="str">
        <f>E352&amp;"_"&amp;COUNTIF(E$3:$E352,E352)&amp;"_"&amp;F352</f>
        <v>49_51_Ossature_contreventement_ext</v>
      </c>
      <c r="B352" s="19">
        <v>350</v>
      </c>
      <c r="C352" s="19" t="s">
        <v>123</v>
      </c>
      <c r="D352" s="19" t="s">
        <v>7</v>
      </c>
      <c r="E352" s="5">
        <v>49</v>
      </c>
      <c r="F352" s="5" t="s">
        <v>39</v>
      </c>
      <c r="G352" s="5" t="s">
        <v>40</v>
      </c>
      <c r="H352" s="5" t="s">
        <v>41</v>
      </c>
      <c r="I352" s="5" t="s">
        <v>42</v>
      </c>
      <c r="J352" s="5" t="s">
        <v>43</v>
      </c>
      <c r="K352" s="5" t="s">
        <v>50</v>
      </c>
      <c r="L352" s="5"/>
      <c r="M352" s="5" t="s">
        <v>45</v>
      </c>
      <c r="N352" s="5"/>
      <c r="O352" s="5"/>
      <c r="P352" s="5" t="s">
        <v>14</v>
      </c>
      <c r="Q352" s="5" t="s">
        <v>57</v>
      </c>
      <c r="R352" s="5"/>
    </row>
    <row r="353" spans="1:18">
      <c r="A353" s="19" t="str">
        <f>E353&amp;"_"&amp;COUNTIF(E$3:$E353,E353)&amp;"_"&amp;F353</f>
        <v>35_37_Ossature_contreventement_int</v>
      </c>
      <c r="B353" s="19">
        <v>351</v>
      </c>
      <c r="C353" s="19" t="s">
        <v>124</v>
      </c>
      <c r="D353" s="19" t="s">
        <v>7</v>
      </c>
      <c r="E353" s="22">
        <v>35</v>
      </c>
      <c r="F353" s="22" t="s">
        <v>59</v>
      </c>
      <c r="G353" s="22" t="s">
        <v>40</v>
      </c>
      <c r="H353" s="22" t="s">
        <v>41</v>
      </c>
      <c r="I353" s="22" t="s">
        <v>60</v>
      </c>
      <c r="J353" s="22" t="s">
        <v>61</v>
      </c>
      <c r="K353" s="22" t="s">
        <v>62</v>
      </c>
      <c r="L353" s="22"/>
      <c r="M353" s="22" t="s">
        <v>63</v>
      </c>
      <c r="N353" s="22"/>
      <c r="O353" s="22"/>
      <c r="P353" s="22" t="s">
        <v>8</v>
      </c>
      <c r="Q353" s="22" t="s">
        <v>64</v>
      </c>
      <c r="R353" s="22"/>
    </row>
    <row r="354" spans="1:18">
      <c r="A354" s="19" t="str">
        <f>E354&amp;"_"&amp;COUNTIF(E$3:$E354,E354)&amp;"_"&amp;F354</f>
        <v>39_33_Ossature_contreventement_int</v>
      </c>
      <c r="B354" s="19">
        <v>352</v>
      </c>
      <c r="C354" s="19" t="s">
        <v>124</v>
      </c>
      <c r="D354" s="19" t="s">
        <v>7</v>
      </c>
      <c r="E354" s="22">
        <v>39</v>
      </c>
      <c r="F354" s="22" t="s">
        <v>59</v>
      </c>
      <c r="G354" s="22" t="s">
        <v>40</v>
      </c>
      <c r="H354" s="22" t="s">
        <v>41</v>
      </c>
      <c r="I354" s="22" t="s">
        <v>60</v>
      </c>
      <c r="J354" s="22" t="s">
        <v>61</v>
      </c>
      <c r="K354" s="22" t="s">
        <v>62</v>
      </c>
      <c r="L354" s="22"/>
      <c r="M354" s="22" t="s">
        <v>63</v>
      </c>
      <c r="N354" s="22"/>
      <c r="O354" s="22"/>
      <c r="P354" s="22" t="s">
        <v>9</v>
      </c>
      <c r="Q354" s="22" t="s">
        <v>65</v>
      </c>
      <c r="R354" s="22"/>
    </row>
    <row r="355" spans="1:18">
      <c r="A355" s="19" t="str">
        <f>E355&amp;"_"&amp;COUNTIF(E$3:$E355,E355)&amp;"_"&amp;F355</f>
        <v>39_34_Ossature_contreventement_int</v>
      </c>
      <c r="B355" s="19">
        <v>353</v>
      </c>
      <c r="C355" s="19" t="s">
        <v>124</v>
      </c>
      <c r="D355" s="19" t="s">
        <v>7</v>
      </c>
      <c r="E355" s="22">
        <v>39</v>
      </c>
      <c r="F355" s="22" t="s">
        <v>59</v>
      </c>
      <c r="G355" s="22" t="s">
        <v>40</v>
      </c>
      <c r="H355" s="22" t="s">
        <v>41</v>
      </c>
      <c r="I355" s="22" t="s">
        <v>60</v>
      </c>
      <c r="J355" s="22" t="s">
        <v>61</v>
      </c>
      <c r="K355" s="22" t="s">
        <v>62</v>
      </c>
      <c r="L355" s="22"/>
      <c r="M355" s="22" t="s">
        <v>63</v>
      </c>
      <c r="N355" s="22"/>
      <c r="O355" s="22"/>
      <c r="P355" s="22" t="s">
        <v>11</v>
      </c>
      <c r="Q355" s="22" t="s">
        <v>65</v>
      </c>
      <c r="R355" s="22"/>
    </row>
    <row r="356" spans="1:18">
      <c r="A356" s="19" t="str">
        <f>E356&amp;"_"&amp;COUNTIF(E$3:$E356,E356)&amp;"_"&amp;F356</f>
        <v>41_13_Ossature_contreventement_int</v>
      </c>
      <c r="B356" s="19">
        <v>354</v>
      </c>
      <c r="C356" s="19" t="s">
        <v>124</v>
      </c>
      <c r="D356" s="19" t="s">
        <v>7</v>
      </c>
      <c r="E356" s="22">
        <v>41</v>
      </c>
      <c r="F356" s="22" t="s">
        <v>59</v>
      </c>
      <c r="G356" s="22" t="s">
        <v>40</v>
      </c>
      <c r="H356" s="22" t="s">
        <v>41</v>
      </c>
      <c r="I356" s="22" t="s">
        <v>60</v>
      </c>
      <c r="J356" s="22" t="s">
        <v>61</v>
      </c>
      <c r="K356" s="22" t="s">
        <v>62</v>
      </c>
      <c r="L356" s="22"/>
      <c r="M356" s="22" t="s">
        <v>63</v>
      </c>
      <c r="N356" s="22"/>
      <c r="O356" s="22"/>
      <c r="P356" s="22" t="s">
        <v>8</v>
      </c>
      <c r="Q356" s="22" t="s">
        <v>65</v>
      </c>
      <c r="R356" s="22"/>
    </row>
    <row r="357" spans="1:18">
      <c r="A357" s="19" t="str">
        <f>E357&amp;"_"&amp;COUNTIF(E$3:$E357,E357)&amp;"_"&amp;F357</f>
        <v>39_35_Panneaux_massifs_contrecollés</v>
      </c>
      <c r="B357" s="19">
        <v>355</v>
      </c>
      <c r="C357" s="19" t="s">
        <v>27</v>
      </c>
      <c r="D357" s="19" t="s">
        <v>7</v>
      </c>
      <c r="E357" s="23">
        <v>39</v>
      </c>
      <c r="F357" s="23" t="s">
        <v>66</v>
      </c>
      <c r="G357" s="23" t="s">
        <v>40</v>
      </c>
      <c r="H357" s="23" t="s">
        <v>41</v>
      </c>
      <c r="I357" s="23" t="s">
        <v>67</v>
      </c>
      <c r="J357" s="23"/>
      <c r="K357" s="23" t="s">
        <v>68</v>
      </c>
      <c r="L357" s="23" t="s">
        <v>69</v>
      </c>
      <c r="M357" s="23" t="s">
        <v>70</v>
      </c>
      <c r="N357" s="23"/>
      <c r="O357" s="23"/>
      <c r="P357" s="23" t="s">
        <v>9</v>
      </c>
      <c r="Q357" s="23" t="s">
        <v>56</v>
      </c>
      <c r="R357" s="23" t="s">
        <v>67</v>
      </c>
    </row>
    <row r="358" spans="1:18">
      <c r="A358" s="19" t="str">
        <f>E358&amp;"_"&amp;COUNTIF(E$3:$E358,E358)&amp;"_"&amp;F358</f>
        <v>36_46_Panneaux_massifs_contrecollés</v>
      </c>
      <c r="B358" s="19">
        <v>356</v>
      </c>
      <c r="C358" s="19" t="s">
        <v>27</v>
      </c>
      <c r="D358" s="19" t="s">
        <v>7</v>
      </c>
      <c r="E358" s="24">
        <v>36</v>
      </c>
      <c r="F358" s="24" t="s">
        <v>66</v>
      </c>
      <c r="G358" s="24" t="s">
        <v>40</v>
      </c>
      <c r="H358" s="24" t="s">
        <v>41</v>
      </c>
      <c r="I358" s="24" t="s">
        <v>67</v>
      </c>
      <c r="J358" s="24"/>
      <c r="K358" s="24" t="s">
        <v>68</v>
      </c>
      <c r="L358" s="24" t="s">
        <v>69</v>
      </c>
      <c r="M358" s="24" t="s">
        <v>70</v>
      </c>
      <c r="N358" s="24"/>
      <c r="O358" s="24"/>
      <c r="P358" s="24" t="s">
        <v>9</v>
      </c>
      <c r="Q358" s="24" t="s">
        <v>71</v>
      </c>
      <c r="R358" s="23" t="s">
        <v>67</v>
      </c>
    </row>
    <row r="359" spans="1:18">
      <c r="A359" s="19" t="str">
        <f>E359&amp;"_"&amp;COUNTIF(E$3:$E359,E359)&amp;"_"&amp;F359</f>
        <v>40_20_Panneaux_massifs_contrecollés</v>
      </c>
      <c r="B359" s="19">
        <v>357</v>
      </c>
      <c r="C359" s="19" t="s">
        <v>27</v>
      </c>
      <c r="D359" s="19" t="s">
        <v>7</v>
      </c>
      <c r="E359" s="23">
        <v>40</v>
      </c>
      <c r="F359" s="23" t="s">
        <v>66</v>
      </c>
      <c r="G359" s="23" t="s">
        <v>40</v>
      </c>
      <c r="H359" s="23" t="s">
        <v>41</v>
      </c>
      <c r="I359" s="23" t="s">
        <v>67</v>
      </c>
      <c r="J359" s="23"/>
      <c r="K359" s="23" t="s">
        <v>68</v>
      </c>
      <c r="L359" s="23" t="s">
        <v>69</v>
      </c>
      <c r="M359" s="23" t="s">
        <v>70</v>
      </c>
      <c r="N359" s="23"/>
      <c r="O359" s="23"/>
      <c r="P359" s="23" t="s">
        <v>9</v>
      </c>
      <c r="Q359" s="23" t="s">
        <v>57</v>
      </c>
      <c r="R359" s="23" t="s">
        <v>67</v>
      </c>
    </row>
    <row r="360" spans="1:18">
      <c r="A360" s="19" t="str">
        <f>E360&amp;"_"&amp;COUNTIF(E$3:$E360,E360)&amp;"_"&amp;F360</f>
        <v>43_3_Panneaux_massifs_contrecollés</v>
      </c>
      <c r="B360" s="19">
        <v>358</v>
      </c>
      <c r="C360" s="19" t="s">
        <v>27</v>
      </c>
      <c r="D360" s="19" t="s">
        <v>7</v>
      </c>
      <c r="E360" s="24">
        <v>43</v>
      </c>
      <c r="F360" s="24" t="s">
        <v>66</v>
      </c>
      <c r="G360" s="24" t="s">
        <v>40</v>
      </c>
      <c r="H360" s="24" t="s">
        <v>41</v>
      </c>
      <c r="I360" s="24" t="s">
        <v>67</v>
      </c>
      <c r="J360" s="24"/>
      <c r="K360" s="24" t="s">
        <v>68</v>
      </c>
      <c r="L360" s="24" t="s">
        <v>69</v>
      </c>
      <c r="M360" s="24" t="s">
        <v>70</v>
      </c>
      <c r="N360" s="24"/>
      <c r="O360" s="24"/>
      <c r="P360" s="24" t="s">
        <v>10</v>
      </c>
      <c r="Q360" s="24" t="s">
        <v>56</v>
      </c>
      <c r="R360" s="23" t="s">
        <v>67</v>
      </c>
    </row>
    <row r="361" spans="1:18">
      <c r="A361" s="19" t="str">
        <f>E361&amp;"_"&amp;COUNTIF(E$3:$E361,E361)&amp;"_"&amp;F361</f>
        <v>40_21_Panneaux_massifs_contrecollés</v>
      </c>
      <c r="B361" s="19">
        <v>359</v>
      </c>
      <c r="C361" s="19" t="s">
        <v>27</v>
      </c>
      <c r="D361" s="19" t="s">
        <v>7</v>
      </c>
      <c r="E361" s="24">
        <v>40</v>
      </c>
      <c r="F361" s="24" t="s">
        <v>66</v>
      </c>
      <c r="G361" s="24" t="s">
        <v>40</v>
      </c>
      <c r="H361" s="24" t="s">
        <v>41</v>
      </c>
      <c r="I361" s="24" t="s">
        <v>67</v>
      </c>
      <c r="J361" s="24"/>
      <c r="K361" s="24" t="s">
        <v>68</v>
      </c>
      <c r="L361" s="24" t="s">
        <v>69</v>
      </c>
      <c r="M361" s="24" t="s">
        <v>70</v>
      </c>
      <c r="N361" s="24"/>
      <c r="O361" s="24"/>
      <c r="P361" s="24" t="s">
        <v>11</v>
      </c>
      <c r="Q361" s="24" t="s">
        <v>56</v>
      </c>
      <c r="R361" s="23" t="s">
        <v>67</v>
      </c>
    </row>
    <row r="362" spans="1:18">
      <c r="A362" s="19" t="str">
        <f>E362&amp;"_"&amp;COUNTIF(E$3:$E362,E362)&amp;"_"&amp;F362</f>
        <v>43_4_Panneaux_massifs_contrecollés</v>
      </c>
      <c r="B362" s="19">
        <v>360</v>
      </c>
      <c r="C362" s="19" t="s">
        <v>27</v>
      </c>
      <c r="D362" s="19" t="s">
        <v>7</v>
      </c>
      <c r="E362" s="24">
        <v>43</v>
      </c>
      <c r="F362" s="24" t="s">
        <v>66</v>
      </c>
      <c r="G362" s="24" t="s">
        <v>40</v>
      </c>
      <c r="H362" s="24" t="s">
        <v>41</v>
      </c>
      <c r="I362" s="24" t="s">
        <v>67</v>
      </c>
      <c r="J362" s="24"/>
      <c r="K362" s="24" t="s">
        <v>68</v>
      </c>
      <c r="L362" s="24" t="s">
        <v>69</v>
      </c>
      <c r="M362" s="24" t="s">
        <v>70</v>
      </c>
      <c r="N362" s="24"/>
      <c r="O362" s="24"/>
      <c r="P362" s="24" t="s">
        <v>8</v>
      </c>
      <c r="Q362" s="24" t="s">
        <v>56</v>
      </c>
      <c r="R362" s="23" t="s">
        <v>67</v>
      </c>
    </row>
    <row r="363" spans="1:18">
      <c r="A363" s="19" t="str">
        <f>E363&amp;"_"&amp;COUNTIF(E$3:$E363,E363)&amp;"_"&amp;F363</f>
        <v>43_5_Panneaux_massifs_contrecollés</v>
      </c>
      <c r="B363" s="19">
        <v>361</v>
      </c>
      <c r="C363" s="19" t="s">
        <v>27</v>
      </c>
      <c r="D363" s="19" t="s">
        <v>7</v>
      </c>
      <c r="E363" s="24">
        <v>43</v>
      </c>
      <c r="F363" s="24" t="s">
        <v>66</v>
      </c>
      <c r="G363" s="24" t="s">
        <v>40</v>
      </c>
      <c r="H363" s="24" t="s">
        <v>41</v>
      </c>
      <c r="I363" s="24" t="s">
        <v>67</v>
      </c>
      <c r="J363" s="24"/>
      <c r="K363" s="24" t="s">
        <v>68</v>
      </c>
      <c r="L363" s="24" t="s">
        <v>69</v>
      </c>
      <c r="M363" s="24" t="s">
        <v>70</v>
      </c>
      <c r="N363" s="24"/>
      <c r="O363" s="24"/>
      <c r="P363" s="24" t="s">
        <v>12</v>
      </c>
      <c r="Q363" s="24" t="s">
        <v>56</v>
      </c>
      <c r="R363" s="23" t="s">
        <v>67</v>
      </c>
    </row>
    <row r="364" spans="1:18">
      <c r="A364" s="19" t="str">
        <f>E364&amp;"_"&amp;COUNTIF(E$3:$E364,E364)&amp;"_"&amp;F364</f>
        <v>46_5_Panneaux_massifs_contrecollés</v>
      </c>
      <c r="B364" s="19">
        <v>362</v>
      </c>
      <c r="C364" s="19" t="s">
        <v>27</v>
      </c>
      <c r="D364" s="19" t="s">
        <v>7</v>
      </c>
      <c r="E364" s="24">
        <v>46</v>
      </c>
      <c r="F364" s="24" t="s">
        <v>66</v>
      </c>
      <c r="G364" s="24" t="s">
        <v>40</v>
      </c>
      <c r="H364" s="24" t="s">
        <v>41</v>
      </c>
      <c r="I364" s="24" t="s">
        <v>67</v>
      </c>
      <c r="J364" s="24"/>
      <c r="K364" s="24" t="s">
        <v>68</v>
      </c>
      <c r="L364" s="24" t="s">
        <v>69</v>
      </c>
      <c r="M364" s="24" t="s">
        <v>70</v>
      </c>
      <c r="N364" s="24"/>
      <c r="O364" s="24"/>
      <c r="P364" s="24" t="s">
        <v>13</v>
      </c>
      <c r="Q364" s="24" t="s">
        <v>56</v>
      </c>
      <c r="R364" s="23" t="s">
        <v>67</v>
      </c>
    </row>
    <row r="365" spans="1:18">
      <c r="A365" s="19" t="str">
        <f>E365&amp;"_"&amp;COUNTIF(E$3:$E365,E365)&amp;"_"&amp;F365</f>
        <v>46_6_Panneaux_massifs_contrecollés</v>
      </c>
      <c r="B365" s="19">
        <v>363</v>
      </c>
      <c r="C365" s="19" t="s">
        <v>27</v>
      </c>
      <c r="D365" s="19" t="s">
        <v>7</v>
      </c>
      <c r="E365" s="24">
        <v>46</v>
      </c>
      <c r="F365" s="24" t="s">
        <v>66</v>
      </c>
      <c r="G365" s="24" t="s">
        <v>40</v>
      </c>
      <c r="H365" s="24" t="s">
        <v>41</v>
      </c>
      <c r="I365" s="24" t="s">
        <v>67</v>
      </c>
      <c r="J365" s="24"/>
      <c r="K365" s="24" t="s">
        <v>68</v>
      </c>
      <c r="L365" s="24" t="s">
        <v>69</v>
      </c>
      <c r="M365" s="24" t="s">
        <v>70</v>
      </c>
      <c r="N365" s="24"/>
      <c r="O365" s="24"/>
      <c r="P365" s="24" t="s">
        <v>72</v>
      </c>
      <c r="Q365" s="24" t="s">
        <v>56</v>
      </c>
      <c r="R365" s="23" t="s">
        <v>67</v>
      </c>
    </row>
    <row r="366" spans="1:18">
      <c r="A366" s="19" t="str">
        <f>E366&amp;"_"&amp;COUNTIF(E$3:$E366,E366)&amp;"_"&amp;F366</f>
        <v>36_47_Panneaux_massifs_contrecollés</v>
      </c>
      <c r="B366" s="19">
        <v>364</v>
      </c>
      <c r="C366" s="19" t="s">
        <v>27</v>
      </c>
      <c r="D366" s="19" t="s">
        <v>7</v>
      </c>
      <c r="E366" s="24">
        <v>36</v>
      </c>
      <c r="F366" s="24" t="s">
        <v>66</v>
      </c>
      <c r="G366" s="24" t="s">
        <v>40</v>
      </c>
      <c r="H366" s="24" t="s">
        <v>41</v>
      </c>
      <c r="I366" s="24" t="s">
        <v>67</v>
      </c>
      <c r="J366" s="24"/>
      <c r="K366" s="24" t="s">
        <v>68</v>
      </c>
      <c r="L366" s="24" t="s">
        <v>69</v>
      </c>
      <c r="M366" s="24" t="s">
        <v>70</v>
      </c>
      <c r="N366" s="24"/>
      <c r="O366" s="24"/>
      <c r="P366" s="24" t="s">
        <v>73</v>
      </c>
      <c r="Q366" s="24" t="s">
        <v>56</v>
      </c>
      <c r="R366" s="23" t="s">
        <v>67</v>
      </c>
    </row>
    <row r="367" spans="1:18">
      <c r="A367" s="19" t="str">
        <f>E367&amp;"_"&amp;COUNTIF(E$3:$E367,E367)&amp;"_"&amp;F367</f>
        <v>40_22_Panneaux_massifs_contrecollés</v>
      </c>
      <c r="B367" s="19">
        <v>365</v>
      </c>
      <c r="C367" s="19" t="s">
        <v>27</v>
      </c>
      <c r="D367" s="19" t="s">
        <v>7</v>
      </c>
      <c r="E367" s="23">
        <v>40</v>
      </c>
      <c r="F367" s="23" t="s">
        <v>66</v>
      </c>
      <c r="G367" s="23" t="s">
        <v>40</v>
      </c>
      <c r="H367" s="23" t="s">
        <v>41</v>
      </c>
      <c r="I367" s="23" t="s">
        <v>67</v>
      </c>
      <c r="J367" s="23"/>
      <c r="K367" s="23" t="s">
        <v>68</v>
      </c>
      <c r="L367" s="23" t="s">
        <v>69</v>
      </c>
      <c r="M367" s="23" t="s">
        <v>70</v>
      </c>
      <c r="N367" s="23"/>
      <c r="O367" s="23"/>
      <c r="P367" s="23" t="s">
        <v>10</v>
      </c>
      <c r="Q367" s="23" t="s">
        <v>71</v>
      </c>
      <c r="R367" s="23" t="s">
        <v>67</v>
      </c>
    </row>
    <row r="368" spans="1:18">
      <c r="A368" s="19" t="str">
        <f>E368&amp;"_"&amp;COUNTIF(E$3:$E368,E368)&amp;"_"&amp;F368</f>
        <v>37_46_Panneaux_massifs_contrecollés</v>
      </c>
      <c r="B368" s="19">
        <v>366</v>
      </c>
      <c r="C368" s="19" t="s">
        <v>27</v>
      </c>
      <c r="D368" s="19" t="s">
        <v>7</v>
      </c>
      <c r="E368" s="23">
        <v>37</v>
      </c>
      <c r="F368" s="23" t="s">
        <v>66</v>
      </c>
      <c r="G368" s="23" t="s">
        <v>40</v>
      </c>
      <c r="H368" s="23" t="s">
        <v>41</v>
      </c>
      <c r="I368" s="23" t="s">
        <v>67</v>
      </c>
      <c r="J368" s="23"/>
      <c r="K368" s="23" t="s">
        <v>68</v>
      </c>
      <c r="L368" s="23" t="s">
        <v>69</v>
      </c>
      <c r="M368" s="23" t="s">
        <v>70</v>
      </c>
      <c r="N368" s="23"/>
      <c r="O368" s="23"/>
      <c r="P368" s="23" t="s">
        <v>11</v>
      </c>
      <c r="Q368" s="23" t="s">
        <v>71</v>
      </c>
      <c r="R368" s="23" t="s">
        <v>67</v>
      </c>
    </row>
    <row r="369" spans="1:18">
      <c r="A369" s="19" t="str">
        <f>E369&amp;"_"&amp;COUNTIF(E$3:$E369,E369)&amp;"_"&amp;F369</f>
        <v>40_23_Panneaux_massifs_contrecollés</v>
      </c>
      <c r="B369" s="19">
        <v>367</v>
      </c>
      <c r="C369" s="19" t="s">
        <v>27</v>
      </c>
      <c r="D369" s="19" t="s">
        <v>7</v>
      </c>
      <c r="E369" s="23">
        <v>40</v>
      </c>
      <c r="F369" s="23" t="s">
        <v>66</v>
      </c>
      <c r="G369" s="23" t="s">
        <v>40</v>
      </c>
      <c r="H369" s="23" t="s">
        <v>41</v>
      </c>
      <c r="I369" s="23" t="s">
        <v>67</v>
      </c>
      <c r="J369" s="23"/>
      <c r="K369" s="23" t="s">
        <v>68</v>
      </c>
      <c r="L369" s="23" t="s">
        <v>69</v>
      </c>
      <c r="M369" s="23" t="s">
        <v>70</v>
      </c>
      <c r="N369" s="23"/>
      <c r="O369" s="23"/>
      <c r="P369" s="23" t="s">
        <v>8</v>
      </c>
      <c r="Q369" s="23" t="s">
        <v>71</v>
      </c>
      <c r="R369" s="23" t="s">
        <v>67</v>
      </c>
    </row>
    <row r="370" spans="1:18">
      <c r="A370" s="19" t="str">
        <f>E370&amp;"_"&amp;COUNTIF(E$3:$E370,E370)&amp;"_"&amp;F370</f>
        <v>40_24_Panneaux_massifs_contrecollés</v>
      </c>
      <c r="B370" s="19">
        <v>368</v>
      </c>
      <c r="C370" s="19" t="s">
        <v>27</v>
      </c>
      <c r="D370" s="19" t="s">
        <v>7</v>
      </c>
      <c r="E370" s="23">
        <v>40</v>
      </c>
      <c r="F370" s="23" t="s">
        <v>66</v>
      </c>
      <c r="G370" s="23" t="s">
        <v>40</v>
      </c>
      <c r="H370" s="23" t="s">
        <v>41</v>
      </c>
      <c r="I370" s="23" t="s">
        <v>67</v>
      </c>
      <c r="J370" s="23"/>
      <c r="K370" s="23" t="s">
        <v>68</v>
      </c>
      <c r="L370" s="23" t="s">
        <v>69</v>
      </c>
      <c r="M370" s="23" t="s">
        <v>70</v>
      </c>
      <c r="N370" s="23"/>
      <c r="O370" s="23"/>
      <c r="P370" s="23" t="s">
        <v>12</v>
      </c>
      <c r="Q370" s="23" t="s">
        <v>71</v>
      </c>
      <c r="R370" s="23" t="s">
        <v>67</v>
      </c>
    </row>
    <row r="371" spans="1:18">
      <c r="A371" s="19" t="str">
        <f>E371&amp;"_"&amp;COUNTIF(E$3:$E371,E371)&amp;"_"&amp;F371</f>
        <v>43_6_Panneaux_massifs_contrecollés</v>
      </c>
      <c r="B371" s="19">
        <v>369</v>
      </c>
      <c r="C371" s="19" t="s">
        <v>27</v>
      </c>
      <c r="D371" s="19" t="s">
        <v>7</v>
      </c>
      <c r="E371" s="23">
        <v>43</v>
      </c>
      <c r="F371" s="23" t="s">
        <v>66</v>
      </c>
      <c r="G371" s="23" t="s">
        <v>40</v>
      </c>
      <c r="H371" s="23" t="s">
        <v>41</v>
      </c>
      <c r="I371" s="23" t="s">
        <v>67</v>
      </c>
      <c r="J371" s="23"/>
      <c r="K371" s="23" t="s">
        <v>68</v>
      </c>
      <c r="L371" s="23" t="s">
        <v>69</v>
      </c>
      <c r="M371" s="23" t="s">
        <v>70</v>
      </c>
      <c r="N371" s="23"/>
      <c r="O371" s="23"/>
      <c r="P371" s="23" t="s">
        <v>13</v>
      </c>
      <c r="Q371" s="23" t="s">
        <v>71</v>
      </c>
      <c r="R371" s="23" t="s">
        <v>67</v>
      </c>
    </row>
    <row r="372" spans="1:18">
      <c r="A372" s="19" t="str">
        <f>E372&amp;"_"&amp;COUNTIF(E$3:$E372,E372)&amp;"_"&amp;F372</f>
        <v>43_7_Panneaux_massifs_contrecollés</v>
      </c>
      <c r="B372" s="19">
        <v>370</v>
      </c>
      <c r="C372" s="19" t="s">
        <v>27</v>
      </c>
      <c r="D372" s="19" t="s">
        <v>7</v>
      </c>
      <c r="E372" s="23">
        <v>43</v>
      </c>
      <c r="F372" s="23" t="s">
        <v>66</v>
      </c>
      <c r="G372" s="23" t="s">
        <v>40</v>
      </c>
      <c r="H372" s="23" t="s">
        <v>41</v>
      </c>
      <c r="I372" s="23" t="s">
        <v>67</v>
      </c>
      <c r="J372" s="23"/>
      <c r="K372" s="23" t="s">
        <v>68</v>
      </c>
      <c r="L372" s="23" t="s">
        <v>69</v>
      </c>
      <c r="M372" s="23" t="s">
        <v>70</v>
      </c>
      <c r="N372" s="23"/>
      <c r="O372" s="23"/>
      <c r="P372" s="23" t="s">
        <v>72</v>
      </c>
      <c r="Q372" s="23" t="s">
        <v>71</v>
      </c>
      <c r="R372" s="23" t="s">
        <v>67</v>
      </c>
    </row>
    <row r="373" spans="1:18">
      <c r="A373" s="19" t="str">
        <f>E373&amp;"_"&amp;COUNTIF(E$3:$E373,E373)&amp;"_"&amp;F373</f>
        <v>33_10_Panneaux_massifs_contrecollés</v>
      </c>
      <c r="B373" s="19">
        <v>371</v>
      </c>
      <c r="C373" s="19" t="s">
        <v>27</v>
      </c>
      <c r="D373" s="19" t="s">
        <v>7</v>
      </c>
      <c r="E373" s="23">
        <v>33</v>
      </c>
      <c r="F373" s="23" t="s">
        <v>66</v>
      </c>
      <c r="G373" s="23" t="s">
        <v>40</v>
      </c>
      <c r="H373" s="23" t="s">
        <v>41</v>
      </c>
      <c r="I373" s="23" t="s">
        <v>67</v>
      </c>
      <c r="J373" s="23"/>
      <c r="K373" s="23" t="s">
        <v>68</v>
      </c>
      <c r="L373" s="23" t="s">
        <v>69</v>
      </c>
      <c r="M373" s="23" t="s">
        <v>70</v>
      </c>
      <c r="N373" s="23"/>
      <c r="O373" s="23"/>
      <c r="P373" s="23" t="s">
        <v>73</v>
      </c>
      <c r="Q373" s="23" t="s">
        <v>71</v>
      </c>
      <c r="R373" s="23" t="s">
        <v>67</v>
      </c>
    </row>
    <row r="374" spans="1:18">
      <c r="A374" s="19" t="str">
        <f>E374&amp;"_"&amp;COUNTIF(E$3:$E374,E374)&amp;"_"&amp;F374</f>
        <v>44_2_Panneaux_massifs_contrecollés</v>
      </c>
      <c r="B374" s="19">
        <v>372</v>
      </c>
      <c r="C374" s="19" t="s">
        <v>27</v>
      </c>
      <c r="D374" s="19" t="s">
        <v>7</v>
      </c>
      <c r="E374" s="24">
        <v>44</v>
      </c>
      <c r="F374" s="24" t="s">
        <v>66</v>
      </c>
      <c r="G374" s="24" t="s">
        <v>40</v>
      </c>
      <c r="H374" s="24" t="s">
        <v>41</v>
      </c>
      <c r="I374" s="24" t="s">
        <v>67</v>
      </c>
      <c r="J374" s="24"/>
      <c r="K374" s="24" t="s">
        <v>68</v>
      </c>
      <c r="L374" s="24" t="s">
        <v>69</v>
      </c>
      <c r="M374" s="24" t="s">
        <v>70</v>
      </c>
      <c r="N374" s="24"/>
      <c r="O374" s="24"/>
      <c r="P374" s="24" t="s">
        <v>10</v>
      </c>
      <c r="Q374" s="24" t="s">
        <v>56</v>
      </c>
      <c r="R374" s="23" t="s">
        <v>67</v>
      </c>
    </row>
    <row r="375" spans="1:18">
      <c r="A375" s="19" t="str">
        <f>E375&amp;"_"&amp;COUNTIF(E$3:$E375,E375)&amp;"_"&amp;F375</f>
        <v>41_14_Panneaux_massifs_contrecollés</v>
      </c>
      <c r="B375" s="19">
        <v>373</v>
      </c>
      <c r="C375" s="19" t="s">
        <v>27</v>
      </c>
      <c r="D375" s="19" t="s">
        <v>7</v>
      </c>
      <c r="E375" s="24">
        <v>41</v>
      </c>
      <c r="F375" s="24" t="s">
        <v>66</v>
      </c>
      <c r="G375" s="24" t="s">
        <v>40</v>
      </c>
      <c r="H375" s="24" t="s">
        <v>41</v>
      </c>
      <c r="I375" s="24" t="s">
        <v>67</v>
      </c>
      <c r="J375" s="24"/>
      <c r="K375" s="24" t="s">
        <v>68</v>
      </c>
      <c r="L375" s="24" t="s">
        <v>69</v>
      </c>
      <c r="M375" s="24" t="s">
        <v>70</v>
      </c>
      <c r="N375" s="24"/>
      <c r="O375" s="24"/>
      <c r="P375" s="24" t="s">
        <v>11</v>
      </c>
      <c r="Q375" s="24" t="s">
        <v>56</v>
      </c>
      <c r="R375" s="23" t="s">
        <v>67</v>
      </c>
    </row>
    <row r="376" spans="1:18">
      <c r="A376" s="19" t="str">
        <f>E376&amp;"_"&amp;COUNTIF(E$3:$E376,E376)&amp;"_"&amp;F376</f>
        <v>44_3_Panneaux_massifs_contrecollés</v>
      </c>
      <c r="B376" s="19">
        <v>374</v>
      </c>
      <c r="C376" s="19" t="s">
        <v>27</v>
      </c>
      <c r="D376" s="19" t="s">
        <v>7</v>
      </c>
      <c r="E376" s="24">
        <v>44</v>
      </c>
      <c r="F376" s="24" t="s">
        <v>66</v>
      </c>
      <c r="G376" s="24" t="s">
        <v>40</v>
      </c>
      <c r="H376" s="24" t="s">
        <v>41</v>
      </c>
      <c r="I376" s="24" t="s">
        <v>67</v>
      </c>
      <c r="J376" s="24"/>
      <c r="K376" s="24" t="s">
        <v>68</v>
      </c>
      <c r="L376" s="24" t="s">
        <v>69</v>
      </c>
      <c r="M376" s="24" t="s">
        <v>70</v>
      </c>
      <c r="N376" s="24"/>
      <c r="O376" s="24"/>
      <c r="P376" s="24" t="s">
        <v>8</v>
      </c>
      <c r="Q376" s="24" t="s">
        <v>56</v>
      </c>
      <c r="R376" s="23" t="s">
        <v>67</v>
      </c>
    </row>
    <row r="377" spans="1:18">
      <c r="A377" s="19" t="str">
        <f>E377&amp;"_"&amp;COUNTIF(E$3:$E377,E377)&amp;"_"&amp;F377</f>
        <v>44_4_Panneaux_massifs_contrecollés</v>
      </c>
      <c r="B377" s="19">
        <v>375</v>
      </c>
      <c r="C377" s="19" t="s">
        <v>27</v>
      </c>
      <c r="D377" s="19" t="s">
        <v>7</v>
      </c>
      <c r="E377" s="24">
        <v>44</v>
      </c>
      <c r="F377" s="24" t="s">
        <v>66</v>
      </c>
      <c r="G377" s="24" t="s">
        <v>40</v>
      </c>
      <c r="H377" s="24" t="s">
        <v>41</v>
      </c>
      <c r="I377" s="24" t="s">
        <v>67</v>
      </c>
      <c r="J377" s="24"/>
      <c r="K377" s="24" t="s">
        <v>68</v>
      </c>
      <c r="L377" s="24" t="s">
        <v>69</v>
      </c>
      <c r="M377" s="24" t="s">
        <v>70</v>
      </c>
      <c r="N377" s="24"/>
      <c r="O377" s="24"/>
      <c r="P377" s="24" t="s">
        <v>12</v>
      </c>
      <c r="Q377" s="24" t="s">
        <v>56</v>
      </c>
      <c r="R377" s="23" t="s">
        <v>67</v>
      </c>
    </row>
    <row r="378" spans="1:18">
      <c r="A378" s="19" t="str">
        <f>E378&amp;"_"&amp;COUNTIF(E$3:$E378,E378)&amp;"_"&amp;F378</f>
        <v>47_10_Panneaux_massifs_contrecollés</v>
      </c>
      <c r="B378" s="19">
        <v>376</v>
      </c>
      <c r="C378" s="19" t="s">
        <v>27</v>
      </c>
      <c r="D378" s="19" t="s">
        <v>7</v>
      </c>
      <c r="E378" s="24">
        <v>47</v>
      </c>
      <c r="F378" s="24" t="s">
        <v>66</v>
      </c>
      <c r="G378" s="24" t="s">
        <v>40</v>
      </c>
      <c r="H378" s="24" t="s">
        <v>41</v>
      </c>
      <c r="I378" s="24" t="s">
        <v>67</v>
      </c>
      <c r="J378" s="24"/>
      <c r="K378" s="24" t="s">
        <v>68</v>
      </c>
      <c r="L378" s="24" t="s">
        <v>69</v>
      </c>
      <c r="M378" s="24" t="s">
        <v>70</v>
      </c>
      <c r="N378" s="24"/>
      <c r="O378" s="24"/>
      <c r="P378" s="24" t="s">
        <v>13</v>
      </c>
      <c r="Q378" s="24" t="s">
        <v>56</v>
      </c>
      <c r="R378" s="23" t="s">
        <v>67</v>
      </c>
    </row>
    <row r="379" spans="1:18">
      <c r="A379" s="19" t="str">
        <f>E379&amp;"_"&amp;COUNTIF(E$3:$E379,E379)&amp;"_"&amp;F379</f>
        <v>47_11_Panneaux_massifs_contrecollés</v>
      </c>
      <c r="B379" s="19">
        <v>377</v>
      </c>
      <c r="C379" s="19" t="s">
        <v>27</v>
      </c>
      <c r="D379" s="19" t="s">
        <v>7</v>
      </c>
      <c r="E379" s="24">
        <v>47</v>
      </c>
      <c r="F379" s="24" t="s">
        <v>66</v>
      </c>
      <c r="G379" s="24" t="s">
        <v>40</v>
      </c>
      <c r="H379" s="24" t="s">
        <v>41</v>
      </c>
      <c r="I379" s="24" t="s">
        <v>67</v>
      </c>
      <c r="J379" s="24"/>
      <c r="K379" s="24" t="s">
        <v>68</v>
      </c>
      <c r="L379" s="24" t="s">
        <v>69</v>
      </c>
      <c r="M379" s="24" t="s">
        <v>70</v>
      </c>
      <c r="N379" s="24"/>
      <c r="O379" s="24"/>
      <c r="P379" s="24" t="s">
        <v>72</v>
      </c>
      <c r="Q379" s="24" t="s">
        <v>56</v>
      </c>
      <c r="R379" s="23" t="s">
        <v>67</v>
      </c>
    </row>
    <row r="380" spans="1:18">
      <c r="A380" s="19" t="str">
        <f>E380&amp;"_"&amp;COUNTIF(E$3:$E380,E380)&amp;"_"&amp;F380</f>
        <v>37_47_Panneaux_massifs_contrecollés</v>
      </c>
      <c r="B380" s="19">
        <v>378</v>
      </c>
      <c r="C380" s="19" t="s">
        <v>27</v>
      </c>
      <c r="D380" s="19" t="s">
        <v>7</v>
      </c>
      <c r="E380" s="24">
        <v>37</v>
      </c>
      <c r="F380" s="24" t="s">
        <v>66</v>
      </c>
      <c r="G380" s="24" t="s">
        <v>40</v>
      </c>
      <c r="H380" s="24" t="s">
        <v>41</v>
      </c>
      <c r="I380" s="24" t="s">
        <v>67</v>
      </c>
      <c r="J380" s="24"/>
      <c r="K380" s="24" t="s">
        <v>68</v>
      </c>
      <c r="L380" s="24" t="s">
        <v>69</v>
      </c>
      <c r="M380" s="24" t="s">
        <v>70</v>
      </c>
      <c r="N380" s="24"/>
      <c r="O380" s="24"/>
      <c r="P380" s="24" t="s">
        <v>73</v>
      </c>
      <c r="Q380" s="24" t="s">
        <v>56</v>
      </c>
      <c r="R380" s="23" t="s">
        <v>67</v>
      </c>
    </row>
    <row r="381" spans="1:18">
      <c r="A381" s="22" t="str">
        <f>E381&amp;"_"&amp;COUNTIF(E$3:$E381,E381)&amp;"_"&amp;F381</f>
        <v>44_5_Panneaux_bois_massif_placage_int.</v>
      </c>
      <c r="B381" s="19">
        <v>379</v>
      </c>
      <c r="C381" s="22" t="s">
        <v>74</v>
      </c>
      <c r="D381" s="22" t="s">
        <v>74</v>
      </c>
      <c r="E381" s="22">
        <v>44</v>
      </c>
      <c r="F381" s="22" t="s">
        <v>126</v>
      </c>
      <c r="G381" s="22" t="s">
        <v>75</v>
      </c>
      <c r="H381" s="22" t="s">
        <v>76</v>
      </c>
      <c r="I381" s="22"/>
      <c r="J381" s="22" t="s">
        <v>77</v>
      </c>
      <c r="K381" s="22"/>
      <c r="L381" s="22"/>
      <c r="M381" s="22" t="s">
        <v>78</v>
      </c>
      <c r="N381" s="22"/>
      <c r="O381" s="22"/>
      <c r="P381" s="22" t="s">
        <v>15</v>
      </c>
      <c r="Q381" s="22"/>
      <c r="R381" s="22"/>
    </row>
    <row r="382" spans="1:18">
      <c r="A382" s="22" t="str">
        <f>E382&amp;"_"&amp;COUNTIF(E$3:$E382,E382)&amp;"_"&amp;F382</f>
        <v>44_6_Panneaux_bois_massif_placage_int.</v>
      </c>
      <c r="B382" s="19">
        <v>380</v>
      </c>
      <c r="C382" s="22" t="s">
        <v>74</v>
      </c>
      <c r="D382" s="22" t="s">
        <v>74</v>
      </c>
      <c r="E382" s="22">
        <v>44</v>
      </c>
      <c r="F382" s="22" t="s">
        <v>126</v>
      </c>
      <c r="G382" s="22" t="s">
        <v>75</v>
      </c>
      <c r="H382" s="22" t="s">
        <v>76</v>
      </c>
      <c r="I382" s="22"/>
      <c r="J382" s="22" t="s">
        <v>77</v>
      </c>
      <c r="K382" s="22"/>
      <c r="L382" s="22"/>
      <c r="M382" s="22" t="s">
        <v>78</v>
      </c>
      <c r="N382" s="22"/>
      <c r="O382" s="22"/>
      <c r="P382" s="22" t="s">
        <v>16</v>
      </c>
      <c r="Q382" s="22"/>
      <c r="R382" s="22"/>
    </row>
    <row r="383" spans="1:18">
      <c r="A383" s="25" t="str">
        <f>E383&amp;"_"&amp;COUNTIF(E$3:$E383,E383)&amp;"_"&amp;F383</f>
        <v>44_7_Panneaux_bois_massif_placage_int.</v>
      </c>
      <c r="B383" s="19">
        <v>381</v>
      </c>
      <c r="C383" s="25" t="s">
        <v>79</v>
      </c>
      <c r="D383" s="25" t="s">
        <v>79</v>
      </c>
      <c r="E383" s="25">
        <v>44</v>
      </c>
      <c r="F383" s="25" t="s">
        <v>126</v>
      </c>
      <c r="G383" s="25" t="s">
        <v>75</v>
      </c>
      <c r="H383" s="25" t="s">
        <v>76</v>
      </c>
      <c r="I383" s="25"/>
      <c r="J383" s="25" t="s">
        <v>77</v>
      </c>
      <c r="K383" s="25"/>
      <c r="L383" s="25"/>
      <c r="M383" s="25" t="s">
        <v>78</v>
      </c>
      <c r="N383" s="25"/>
      <c r="O383" s="25"/>
      <c r="P383" s="25"/>
      <c r="Q383" s="25"/>
      <c r="R383" s="25"/>
    </row>
    <row r="384" spans="1:18">
      <c r="A384" s="25" t="str">
        <f>E384&amp;"_"&amp;COUNTIF(E$3:$E384,E384)&amp;"_"&amp;F384</f>
        <v>53_1_Panneaux_bois_massif_placage_int.</v>
      </c>
      <c r="B384" s="19">
        <v>382</v>
      </c>
      <c r="C384" s="22" t="s">
        <v>80</v>
      </c>
      <c r="D384" s="22" t="s">
        <v>80</v>
      </c>
      <c r="E384" s="22">
        <v>53</v>
      </c>
      <c r="F384" s="22" t="s">
        <v>126</v>
      </c>
      <c r="G384" s="22" t="s">
        <v>75</v>
      </c>
      <c r="H384" s="22" t="s">
        <v>76</v>
      </c>
      <c r="I384" s="22"/>
      <c r="J384" s="22" t="s">
        <v>77</v>
      </c>
      <c r="K384" s="22"/>
      <c r="L384" s="22"/>
      <c r="M384" s="22" t="s">
        <v>78</v>
      </c>
      <c r="N384" s="22" t="s">
        <v>17</v>
      </c>
      <c r="O384" s="22"/>
      <c r="P384" s="22" t="s">
        <v>15</v>
      </c>
      <c r="Q384" s="22" t="s">
        <v>18</v>
      </c>
      <c r="R384" s="22"/>
    </row>
    <row r="385" spans="1:18">
      <c r="A385" s="25" t="str">
        <f>E385&amp;"_"&amp;COUNTIF(E$3:$E385,E385)&amp;"_"&amp;F385</f>
        <v>53_2_Panneaux_bois_massif_placage_int.</v>
      </c>
      <c r="B385" s="19">
        <v>383</v>
      </c>
      <c r="C385" s="22" t="s">
        <v>80</v>
      </c>
      <c r="D385" s="22" t="s">
        <v>80</v>
      </c>
      <c r="E385" s="22">
        <v>53</v>
      </c>
      <c r="F385" s="22" t="s">
        <v>126</v>
      </c>
      <c r="G385" s="22" t="s">
        <v>75</v>
      </c>
      <c r="H385" s="22" t="s">
        <v>76</v>
      </c>
      <c r="I385" s="22"/>
      <c r="J385" s="22" t="s">
        <v>77</v>
      </c>
      <c r="K385" s="22"/>
      <c r="L385" s="22"/>
      <c r="M385" s="22" t="s">
        <v>78</v>
      </c>
      <c r="N385" s="22" t="s">
        <v>17</v>
      </c>
      <c r="O385" s="22"/>
      <c r="P385" s="22" t="s">
        <v>16</v>
      </c>
      <c r="Q385" s="22" t="s">
        <v>18</v>
      </c>
      <c r="R385" s="22"/>
    </row>
    <row r="386" spans="1:18">
      <c r="A386" s="25" t="str">
        <f>E386&amp;"_"&amp;COUNTIF(E$3:$E386,E386)&amp;"_"&amp;F386</f>
        <v>59_1_Panneaux_bois_massif_placage_int.</v>
      </c>
      <c r="B386" s="19">
        <v>384</v>
      </c>
      <c r="C386" s="25" t="s">
        <v>81</v>
      </c>
      <c r="D386" s="25" t="s">
        <v>81</v>
      </c>
      <c r="E386" s="25">
        <v>59</v>
      </c>
      <c r="F386" s="25" t="s">
        <v>126</v>
      </c>
      <c r="G386" s="25" t="s">
        <v>75</v>
      </c>
      <c r="H386" s="25" t="s">
        <v>76</v>
      </c>
      <c r="I386" s="25"/>
      <c r="J386" s="25" t="s">
        <v>77</v>
      </c>
      <c r="K386" s="25"/>
      <c r="L386" s="25"/>
      <c r="M386" s="25" t="s">
        <v>78</v>
      </c>
      <c r="N386" s="25" t="s">
        <v>17</v>
      </c>
      <c r="O386" s="25"/>
      <c r="P386" s="25" t="s">
        <v>19</v>
      </c>
      <c r="Q386" s="25" t="s">
        <v>18</v>
      </c>
      <c r="R386" s="25"/>
    </row>
    <row r="387" spans="1:18">
      <c r="A387" s="25" t="str">
        <f>E387&amp;"_"&amp;COUNTIF(E$3:$E387,E387)&amp;"_"&amp;F387</f>
        <v>59_2_Panneaux_bois_massif_placage_int.</v>
      </c>
      <c r="B387" s="19">
        <v>385</v>
      </c>
      <c r="C387" s="25" t="s">
        <v>81</v>
      </c>
      <c r="D387" s="25" t="s">
        <v>81</v>
      </c>
      <c r="E387" s="25">
        <v>59</v>
      </c>
      <c r="F387" s="25" t="s">
        <v>126</v>
      </c>
      <c r="G387" s="25" t="s">
        <v>75</v>
      </c>
      <c r="H387" s="25" t="s">
        <v>76</v>
      </c>
      <c r="I387" s="25"/>
      <c r="J387" s="25" t="s">
        <v>77</v>
      </c>
      <c r="K387" s="25"/>
      <c r="L387" s="25"/>
      <c r="M387" s="25" t="s">
        <v>78</v>
      </c>
      <c r="N387" s="25" t="s">
        <v>17</v>
      </c>
      <c r="O387" s="25"/>
      <c r="P387" s="25" t="s">
        <v>20</v>
      </c>
      <c r="Q387" s="25" t="s">
        <v>18</v>
      </c>
      <c r="R387" s="25"/>
    </row>
    <row r="388" spans="1:18">
      <c r="A388" s="25" t="str">
        <f>E388&amp;"_"&amp;COUNTIF(E$3:$E388,E388)&amp;"_"&amp;F388</f>
        <v>53_3_Panneaux_bois_massif_placage_int.</v>
      </c>
      <c r="B388" s="19">
        <v>386</v>
      </c>
      <c r="C388" s="22" t="s">
        <v>82</v>
      </c>
      <c r="D388" s="22" t="s">
        <v>82</v>
      </c>
      <c r="E388" s="22">
        <v>53</v>
      </c>
      <c r="F388" s="22" t="s">
        <v>126</v>
      </c>
      <c r="G388" s="22" t="s">
        <v>75</v>
      </c>
      <c r="H388" s="22" t="s">
        <v>76</v>
      </c>
      <c r="I388" s="22"/>
      <c r="J388" s="22" t="s">
        <v>77</v>
      </c>
      <c r="K388" s="22"/>
      <c r="L388" s="22"/>
      <c r="M388" s="22" t="s">
        <v>83</v>
      </c>
      <c r="N388" s="22" t="s">
        <v>17</v>
      </c>
      <c r="O388" s="22"/>
      <c r="P388" s="22" t="s">
        <v>15</v>
      </c>
      <c r="Q388" s="22" t="s">
        <v>18</v>
      </c>
      <c r="R388" s="22"/>
    </row>
    <row r="389" spans="1:18">
      <c r="A389" s="25" t="str">
        <f>E389&amp;"_"&amp;COUNTIF(E$3:$E389,E389)&amp;"_"&amp;F389</f>
        <v>53_4_Panneaux_bois_massif_placage_int.</v>
      </c>
      <c r="B389" s="19">
        <v>387</v>
      </c>
      <c r="C389" s="22" t="s">
        <v>82</v>
      </c>
      <c r="D389" s="22" t="s">
        <v>82</v>
      </c>
      <c r="E389" s="22">
        <v>53</v>
      </c>
      <c r="F389" s="22" t="s">
        <v>126</v>
      </c>
      <c r="G389" s="22" t="s">
        <v>75</v>
      </c>
      <c r="H389" s="22" t="s">
        <v>76</v>
      </c>
      <c r="I389" s="22"/>
      <c r="J389" s="22" t="s">
        <v>77</v>
      </c>
      <c r="K389" s="22"/>
      <c r="L389" s="22"/>
      <c r="M389" s="22" t="s">
        <v>83</v>
      </c>
      <c r="N389" s="22" t="s">
        <v>17</v>
      </c>
      <c r="O389" s="22"/>
      <c r="P389" s="22" t="s">
        <v>16</v>
      </c>
      <c r="Q389" s="22" t="s">
        <v>18</v>
      </c>
      <c r="R389" s="22"/>
    </row>
    <row r="390" spans="1:18">
      <c r="A390" s="25" t="str">
        <f>E390&amp;"_"&amp;COUNTIF(E$3:$E390,E390)&amp;"_"&amp;F390</f>
        <v>59_3_Panneaux_bois_massif_placage_int.</v>
      </c>
      <c r="B390" s="19">
        <v>388</v>
      </c>
      <c r="C390" s="25" t="s">
        <v>84</v>
      </c>
      <c r="D390" s="25" t="s">
        <v>84</v>
      </c>
      <c r="E390" s="25">
        <v>59</v>
      </c>
      <c r="F390" s="25" t="s">
        <v>126</v>
      </c>
      <c r="G390" s="25" t="s">
        <v>75</v>
      </c>
      <c r="H390" s="25" t="s">
        <v>76</v>
      </c>
      <c r="I390" s="25"/>
      <c r="J390" s="25" t="s">
        <v>77</v>
      </c>
      <c r="K390" s="25"/>
      <c r="L390" s="25"/>
      <c r="M390" s="25" t="s">
        <v>83</v>
      </c>
      <c r="N390" s="25" t="s">
        <v>17</v>
      </c>
      <c r="O390" s="25"/>
      <c r="P390" s="25" t="s">
        <v>19</v>
      </c>
      <c r="Q390" s="25" t="s">
        <v>18</v>
      </c>
      <c r="R390" s="25"/>
    </row>
    <row r="391" spans="1:18">
      <c r="A391" s="25" t="str">
        <f>E391&amp;"_"&amp;COUNTIF(E$3:$E391,E391)&amp;"_"&amp;F391</f>
        <v>59_4_Panneaux_bois_massif_placage_int.</v>
      </c>
      <c r="B391" s="19">
        <v>389</v>
      </c>
      <c r="C391" s="25" t="s">
        <v>84</v>
      </c>
      <c r="D391" s="25" t="s">
        <v>84</v>
      </c>
      <c r="E391" s="25">
        <v>59</v>
      </c>
      <c r="F391" s="25" t="s">
        <v>126</v>
      </c>
      <c r="G391" s="25" t="s">
        <v>75</v>
      </c>
      <c r="H391" s="25" t="s">
        <v>76</v>
      </c>
      <c r="I391" s="25"/>
      <c r="J391" s="25" t="s">
        <v>77</v>
      </c>
      <c r="K391" s="25"/>
      <c r="L391" s="25"/>
      <c r="M391" s="25" t="s">
        <v>83</v>
      </c>
      <c r="N391" s="25" t="s">
        <v>17</v>
      </c>
      <c r="O391" s="25"/>
      <c r="P391" s="25" t="s">
        <v>20</v>
      </c>
      <c r="Q391" s="25" t="s">
        <v>18</v>
      </c>
      <c r="R391" s="25"/>
    </row>
    <row r="392" spans="1:18">
      <c r="A392" s="25" t="str">
        <f>E392&amp;"_"&amp;COUNTIF(E$3:$E392,E392)&amp;"_"&amp;F392</f>
        <v>59_5_Panneaux_bois_massif_placage_int.</v>
      </c>
      <c r="B392" s="19">
        <v>390</v>
      </c>
      <c r="C392" s="22" t="s">
        <v>85</v>
      </c>
      <c r="D392" s="22" t="s">
        <v>85</v>
      </c>
      <c r="E392" s="22">
        <v>59</v>
      </c>
      <c r="F392" s="22" t="s">
        <v>126</v>
      </c>
      <c r="G392" s="22" t="s">
        <v>75</v>
      </c>
      <c r="H392" s="22" t="s">
        <v>76</v>
      </c>
      <c r="I392" s="22"/>
      <c r="J392" s="22" t="s">
        <v>86</v>
      </c>
      <c r="K392" s="22"/>
      <c r="L392" s="22"/>
      <c r="M392" s="22" t="s">
        <v>78</v>
      </c>
      <c r="N392" s="22" t="s">
        <v>17</v>
      </c>
      <c r="O392" s="22"/>
      <c r="P392" s="22" t="s">
        <v>19</v>
      </c>
      <c r="Q392" s="22" t="s">
        <v>18</v>
      </c>
      <c r="R392" s="22"/>
    </row>
    <row r="393" spans="1:18">
      <c r="A393" s="25" t="str">
        <f>E393&amp;"_"&amp;COUNTIF(E$3:$E393,E393)&amp;"_"&amp;F393</f>
        <v>59_6_Panneaux_bois_massif_placage_int.</v>
      </c>
      <c r="B393" s="19">
        <v>391</v>
      </c>
      <c r="C393" s="22" t="s">
        <v>85</v>
      </c>
      <c r="D393" s="22" t="s">
        <v>85</v>
      </c>
      <c r="E393" s="22">
        <v>59</v>
      </c>
      <c r="F393" s="22" t="s">
        <v>126</v>
      </c>
      <c r="G393" s="22" t="s">
        <v>75</v>
      </c>
      <c r="H393" s="22" t="s">
        <v>76</v>
      </c>
      <c r="I393" s="22"/>
      <c r="J393" s="22" t="s">
        <v>86</v>
      </c>
      <c r="K393" s="22"/>
      <c r="L393" s="22"/>
      <c r="M393" s="22" t="s">
        <v>78</v>
      </c>
      <c r="N393" s="22" t="s">
        <v>17</v>
      </c>
      <c r="O393" s="22"/>
      <c r="P393" s="22" t="s">
        <v>20</v>
      </c>
      <c r="Q393" s="22" t="s">
        <v>18</v>
      </c>
      <c r="R393" s="22"/>
    </row>
    <row r="394" spans="1:18">
      <c r="A394" s="25" t="str">
        <f>E394&amp;"_"&amp;COUNTIF(E$3:$E394,E394)&amp;"_"&amp;F394</f>
        <v>59_7_Panneaux_bois_massif_placage_int.</v>
      </c>
      <c r="B394" s="19">
        <v>392</v>
      </c>
      <c r="C394" s="25" t="s">
        <v>87</v>
      </c>
      <c r="D394" s="25" t="s">
        <v>87</v>
      </c>
      <c r="E394" s="25">
        <v>59</v>
      </c>
      <c r="F394" s="25" t="s">
        <v>126</v>
      </c>
      <c r="G394" s="25" t="s">
        <v>75</v>
      </c>
      <c r="H394" s="25" t="s">
        <v>76</v>
      </c>
      <c r="I394" s="25"/>
      <c r="J394" s="25" t="s">
        <v>86</v>
      </c>
      <c r="K394" s="25"/>
      <c r="L394" s="25"/>
      <c r="M394" s="25" t="s">
        <v>83</v>
      </c>
      <c r="N394" s="25" t="s">
        <v>17</v>
      </c>
      <c r="O394" s="25"/>
      <c r="P394" s="25" t="s">
        <v>19</v>
      </c>
      <c r="Q394" s="25" t="s">
        <v>18</v>
      </c>
      <c r="R394" s="25"/>
    </row>
    <row r="395" spans="1:18">
      <c r="A395" s="25" t="str">
        <f>E395&amp;"_"&amp;COUNTIF(E$3:$E395,E395)&amp;"_"&amp;F395</f>
        <v>59_8_Panneaux_bois_massif_placage_int.</v>
      </c>
      <c r="B395" s="19">
        <v>393</v>
      </c>
      <c r="C395" s="25" t="s">
        <v>87</v>
      </c>
      <c r="D395" s="25" t="s">
        <v>87</v>
      </c>
      <c r="E395" s="25">
        <v>59</v>
      </c>
      <c r="F395" s="25" t="s">
        <v>126</v>
      </c>
      <c r="G395" s="25" t="s">
        <v>75</v>
      </c>
      <c r="H395" s="25" t="s">
        <v>76</v>
      </c>
      <c r="I395" s="25"/>
      <c r="J395" s="25" t="s">
        <v>86</v>
      </c>
      <c r="K395" s="25"/>
      <c r="L395" s="25"/>
      <c r="M395" s="25" t="s">
        <v>83</v>
      </c>
      <c r="N395" s="25" t="s">
        <v>17</v>
      </c>
      <c r="O395" s="25"/>
      <c r="P395" s="25" t="s">
        <v>20</v>
      </c>
      <c r="Q395" s="25" t="s">
        <v>18</v>
      </c>
      <c r="R395" s="25"/>
    </row>
    <row r="396" spans="1:18">
      <c r="A396" s="25" t="str">
        <f>E396&amp;"_"&amp;COUNTIF(E$3:$E396,E396)&amp;"_"&amp;F396</f>
        <v>50_1_Panneaux_bois_massif_placage_int.</v>
      </c>
      <c r="B396" s="19">
        <v>394</v>
      </c>
      <c r="C396" s="22" t="s">
        <v>88</v>
      </c>
      <c r="D396" s="22" t="s">
        <v>88</v>
      </c>
      <c r="E396" s="22">
        <v>50</v>
      </c>
      <c r="F396" s="22" t="s">
        <v>126</v>
      </c>
      <c r="G396" s="22" t="s">
        <v>75</v>
      </c>
      <c r="H396" s="22" t="s">
        <v>76</v>
      </c>
      <c r="I396" s="22"/>
      <c r="J396" s="22" t="s">
        <v>77</v>
      </c>
      <c r="K396" s="22"/>
      <c r="L396" s="22"/>
      <c r="M396" s="22" t="s">
        <v>78</v>
      </c>
      <c r="N396" s="22" t="s">
        <v>17</v>
      </c>
      <c r="O396" s="22"/>
      <c r="P396" s="22" t="s">
        <v>15</v>
      </c>
      <c r="Q396" s="22" t="s">
        <v>89</v>
      </c>
      <c r="R396" s="22"/>
    </row>
    <row r="397" spans="1:18">
      <c r="A397" s="25" t="str">
        <f>E397&amp;"_"&amp;COUNTIF(E$3:$E397,E397)&amp;"_"&amp;F397</f>
        <v>50_2_Panneaux_bois_massif_placage_int.</v>
      </c>
      <c r="B397" s="19">
        <v>395</v>
      </c>
      <c r="C397" s="22" t="s">
        <v>88</v>
      </c>
      <c r="D397" s="22" t="s">
        <v>88</v>
      </c>
      <c r="E397" s="22">
        <v>50</v>
      </c>
      <c r="F397" s="22" t="s">
        <v>126</v>
      </c>
      <c r="G397" s="22" t="s">
        <v>75</v>
      </c>
      <c r="H397" s="22" t="s">
        <v>76</v>
      </c>
      <c r="I397" s="22"/>
      <c r="J397" s="22" t="s">
        <v>77</v>
      </c>
      <c r="K397" s="22"/>
      <c r="L397" s="22"/>
      <c r="M397" s="22" t="s">
        <v>78</v>
      </c>
      <c r="N397" s="22" t="s">
        <v>17</v>
      </c>
      <c r="O397" s="22"/>
      <c r="P397" s="22" t="s">
        <v>16</v>
      </c>
      <c r="Q397" s="22" t="s">
        <v>89</v>
      </c>
      <c r="R397" s="22"/>
    </row>
    <row r="398" spans="1:18">
      <c r="A398" s="25" t="str">
        <f>E398&amp;"_"&amp;COUNTIF(E$3:$E398,E398)&amp;"_"&amp;F398</f>
        <v>45_2_Panneaux_bois_massif_placage_int.</v>
      </c>
      <c r="B398" s="19">
        <v>396</v>
      </c>
      <c r="C398" s="25" t="s">
        <v>90</v>
      </c>
      <c r="D398" s="25" t="s">
        <v>90</v>
      </c>
      <c r="E398" s="25">
        <v>45</v>
      </c>
      <c r="F398" s="25" t="s">
        <v>126</v>
      </c>
      <c r="G398" s="25" t="s">
        <v>75</v>
      </c>
      <c r="H398" s="25" t="s">
        <v>76</v>
      </c>
      <c r="I398" s="25" t="s">
        <v>91</v>
      </c>
      <c r="J398" s="25" t="s">
        <v>77</v>
      </c>
      <c r="K398" s="25" t="s">
        <v>92</v>
      </c>
      <c r="L398" s="25"/>
      <c r="M398" s="25" t="s">
        <v>93</v>
      </c>
      <c r="N398" s="25"/>
      <c r="O398" s="25"/>
      <c r="P398" s="25"/>
      <c r="Q398" s="25"/>
      <c r="R398" s="25"/>
    </row>
    <row r="399" spans="1:18">
      <c r="A399" s="25" t="str">
        <f>E399&amp;"_"&amp;COUNTIF(E$3:$E399,E399)&amp;"_"&amp;F399</f>
        <v>45_3_Panneaux_bois_massif_placage_int.</v>
      </c>
      <c r="B399" s="19">
        <v>397</v>
      </c>
      <c r="C399" s="22" t="s">
        <v>94</v>
      </c>
      <c r="D399" s="22" t="s">
        <v>94</v>
      </c>
      <c r="E399" s="22">
        <v>45</v>
      </c>
      <c r="F399" s="22" t="s">
        <v>126</v>
      </c>
      <c r="G399" s="22" t="s">
        <v>75</v>
      </c>
      <c r="H399" s="22" t="s">
        <v>76</v>
      </c>
      <c r="I399" s="22" t="s">
        <v>91</v>
      </c>
      <c r="J399" s="22" t="s">
        <v>77</v>
      </c>
      <c r="K399" s="22" t="s">
        <v>95</v>
      </c>
      <c r="L399" s="22"/>
      <c r="M399" s="22" t="s">
        <v>96</v>
      </c>
      <c r="N399" s="22"/>
      <c r="O399" s="22"/>
      <c r="P399" s="22"/>
      <c r="Q399" s="22"/>
      <c r="R399" s="22"/>
    </row>
    <row r="400" spans="1:18">
      <c r="A400" s="25" t="str">
        <f>E400&amp;"_"&amp;COUNTIF(E$3:$E400,E400)&amp;"_"&amp;F400</f>
        <v>45_4_Panneaux_bois_massif_placage_int.</v>
      </c>
      <c r="B400" s="19">
        <v>398</v>
      </c>
      <c r="C400" s="25" t="s">
        <v>97</v>
      </c>
      <c r="D400" s="25" t="s">
        <v>97</v>
      </c>
      <c r="E400" s="25">
        <v>45</v>
      </c>
      <c r="F400" s="25" t="s">
        <v>126</v>
      </c>
      <c r="G400" s="25" t="s">
        <v>75</v>
      </c>
      <c r="H400" s="25" t="s">
        <v>76</v>
      </c>
      <c r="I400" s="25" t="s">
        <v>91</v>
      </c>
      <c r="J400" s="25" t="s">
        <v>86</v>
      </c>
      <c r="K400" s="25" t="s">
        <v>92</v>
      </c>
      <c r="L400" s="25"/>
      <c r="M400" s="25" t="s">
        <v>93</v>
      </c>
      <c r="N400" s="25"/>
      <c r="O400" s="25"/>
      <c r="P400" s="25"/>
      <c r="Q400" s="25"/>
      <c r="R400" s="25"/>
    </row>
    <row r="401" spans="1:18">
      <c r="A401" s="25" t="str">
        <f>E401&amp;"_"&amp;COUNTIF(E$3:$E401,E401)&amp;"_"&amp;F401</f>
        <v>45_5_Panneaux_bois_massif_placage_int.</v>
      </c>
      <c r="B401" s="19">
        <v>399</v>
      </c>
      <c r="C401" s="22" t="s">
        <v>98</v>
      </c>
      <c r="D401" s="22" t="s">
        <v>98</v>
      </c>
      <c r="E401" s="22">
        <v>45</v>
      </c>
      <c r="F401" s="22" t="s">
        <v>126</v>
      </c>
      <c r="G401" s="22" t="s">
        <v>75</v>
      </c>
      <c r="H401" s="22" t="s">
        <v>76</v>
      </c>
      <c r="I401" s="22" t="s">
        <v>91</v>
      </c>
      <c r="J401" s="22" t="s">
        <v>77</v>
      </c>
      <c r="K401" s="22" t="s">
        <v>95</v>
      </c>
      <c r="L401" s="22"/>
      <c r="M401" s="22" t="s">
        <v>93</v>
      </c>
      <c r="N401" s="22"/>
      <c r="O401" s="22"/>
      <c r="P401" s="22" t="s">
        <v>15</v>
      </c>
      <c r="Q401" s="22"/>
      <c r="R401" s="22"/>
    </row>
    <row r="402" spans="1:18">
      <c r="A402" s="25" t="str">
        <f>E402&amp;"_"&amp;COUNTIF(E$3:$E402,E402)&amp;"_"&amp;F402</f>
        <v>45_6_Panneaux_bois_massif_placage_int.</v>
      </c>
      <c r="B402" s="19">
        <v>400</v>
      </c>
      <c r="C402" s="22" t="s">
        <v>98</v>
      </c>
      <c r="D402" s="22" t="s">
        <v>98</v>
      </c>
      <c r="E402" s="22">
        <v>45</v>
      </c>
      <c r="F402" s="22" t="s">
        <v>126</v>
      </c>
      <c r="G402" s="22" t="s">
        <v>75</v>
      </c>
      <c r="H402" s="22" t="s">
        <v>76</v>
      </c>
      <c r="I402" s="22" t="s">
        <v>91</v>
      </c>
      <c r="J402" s="22" t="s">
        <v>77</v>
      </c>
      <c r="K402" s="22" t="s">
        <v>95</v>
      </c>
      <c r="L402" s="22"/>
      <c r="M402" s="22" t="s">
        <v>93</v>
      </c>
      <c r="N402" s="22"/>
      <c r="O402" s="22"/>
      <c r="P402" s="22" t="s">
        <v>16</v>
      </c>
      <c r="Q402" s="22"/>
      <c r="R402" s="22"/>
    </row>
    <row r="403" spans="1:18">
      <c r="A403" s="25" t="str">
        <f>E403&amp;"_"&amp;COUNTIF(E$3:$E403,E403)&amp;"_"&amp;F403</f>
        <v>45_7_Panneaux_bois_massif_placage_int.</v>
      </c>
      <c r="B403" s="19">
        <v>401</v>
      </c>
      <c r="C403" s="25" t="s">
        <v>99</v>
      </c>
      <c r="D403" s="25" t="s">
        <v>99</v>
      </c>
      <c r="E403" s="25">
        <v>45</v>
      </c>
      <c r="F403" s="25" t="s">
        <v>126</v>
      </c>
      <c r="G403" s="25" t="s">
        <v>75</v>
      </c>
      <c r="H403" s="25" t="s">
        <v>76</v>
      </c>
      <c r="I403" s="25" t="s">
        <v>91</v>
      </c>
      <c r="J403" s="25" t="s">
        <v>86</v>
      </c>
      <c r="K403" s="25" t="s">
        <v>92</v>
      </c>
      <c r="L403" s="25"/>
      <c r="M403" s="25" t="s">
        <v>93</v>
      </c>
      <c r="N403" s="25"/>
      <c r="O403" s="25"/>
      <c r="P403" s="25" t="s">
        <v>15</v>
      </c>
      <c r="Q403" s="25"/>
      <c r="R403" s="25"/>
    </row>
    <row r="404" spans="1:18">
      <c r="A404" s="25" t="str">
        <f>E404&amp;"_"&amp;COUNTIF(E$3:$E404,E404)&amp;"_"&amp;F404</f>
        <v>45_8_Panneaux_bois_massif_placage_int.</v>
      </c>
      <c r="B404" s="19">
        <v>402</v>
      </c>
      <c r="C404" s="25" t="s">
        <v>99</v>
      </c>
      <c r="D404" s="25" t="s">
        <v>99</v>
      </c>
      <c r="E404" s="25">
        <v>45</v>
      </c>
      <c r="F404" s="25" t="s">
        <v>126</v>
      </c>
      <c r="G404" s="25" t="s">
        <v>75</v>
      </c>
      <c r="H404" s="25" t="s">
        <v>76</v>
      </c>
      <c r="I404" s="25" t="s">
        <v>91</v>
      </c>
      <c r="J404" s="25" t="s">
        <v>86</v>
      </c>
      <c r="K404" s="25" t="s">
        <v>92</v>
      </c>
      <c r="L404" s="25"/>
      <c r="M404" s="25" t="s">
        <v>93</v>
      </c>
      <c r="N404" s="25"/>
      <c r="O404" s="25"/>
      <c r="P404" s="25" t="s">
        <v>16</v>
      </c>
      <c r="Q404" s="25"/>
      <c r="R404" s="25"/>
    </row>
    <row r="405" spans="1:18">
      <c r="A405" s="25" t="str">
        <f>E405&amp;"_"&amp;COUNTIF(E$3:$E405,E405)&amp;"_"&amp;F405</f>
        <v>45_9_Panneaux_bois_massif_placage_int.</v>
      </c>
      <c r="B405" s="19">
        <v>403</v>
      </c>
      <c r="C405" s="22" t="s">
        <v>100</v>
      </c>
      <c r="D405" s="22" t="s">
        <v>100</v>
      </c>
      <c r="E405" s="22">
        <v>45</v>
      </c>
      <c r="F405" s="22" t="s">
        <v>126</v>
      </c>
      <c r="G405" s="22" t="s">
        <v>75</v>
      </c>
      <c r="H405" s="22" t="s">
        <v>76</v>
      </c>
      <c r="I405" s="22" t="s">
        <v>91</v>
      </c>
      <c r="J405" s="22" t="s">
        <v>86</v>
      </c>
      <c r="K405" s="22" t="s">
        <v>95</v>
      </c>
      <c r="L405" s="22"/>
      <c r="M405" s="22" t="s">
        <v>96</v>
      </c>
      <c r="N405" s="22"/>
      <c r="O405" s="22"/>
      <c r="P405" s="22" t="s">
        <v>15</v>
      </c>
      <c r="Q405" s="22"/>
      <c r="R405" s="22"/>
    </row>
    <row r="406" spans="1:18">
      <c r="A406" s="25" t="str">
        <f>E406&amp;"_"&amp;COUNTIF(E$3:$E406,E406)&amp;"_"&amp;F406</f>
        <v>45_10_Panneaux_bois_massif_placage_int.</v>
      </c>
      <c r="B406" s="19">
        <v>404</v>
      </c>
      <c r="C406" s="22" t="s">
        <v>100</v>
      </c>
      <c r="D406" s="22" t="s">
        <v>100</v>
      </c>
      <c r="E406" s="22">
        <v>45</v>
      </c>
      <c r="F406" s="22" t="s">
        <v>126</v>
      </c>
      <c r="G406" s="22" t="s">
        <v>75</v>
      </c>
      <c r="H406" s="22" t="s">
        <v>76</v>
      </c>
      <c r="I406" s="22" t="s">
        <v>91</v>
      </c>
      <c r="J406" s="22" t="s">
        <v>86</v>
      </c>
      <c r="K406" s="22" t="s">
        <v>95</v>
      </c>
      <c r="L406" s="22"/>
      <c r="M406" s="22" t="s">
        <v>96</v>
      </c>
      <c r="N406" s="22"/>
      <c r="O406" s="22"/>
      <c r="P406" s="22" t="s">
        <v>16</v>
      </c>
      <c r="Q406" s="22"/>
      <c r="R406" s="22"/>
    </row>
    <row r="407" spans="1:18">
      <c r="A407" s="25" t="str">
        <f>E407&amp;"_"&amp;COUNTIF(E$3:$E407,E407)&amp;"_"&amp;F407</f>
        <v>52_1_Panneaux_bois_massif_placage_int.</v>
      </c>
      <c r="B407" s="19">
        <v>405</v>
      </c>
      <c r="C407" s="25" t="s">
        <v>101</v>
      </c>
      <c r="D407" s="25" t="s">
        <v>101</v>
      </c>
      <c r="E407" s="25">
        <v>52</v>
      </c>
      <c r="F407" s="25" t="s">
        <v>126</v>
      </c>
      <c r="G407" s="25" t="s">
        <v>75</v>
      </c>
      <c r="H407" s="25" t="s">
        <v>76</v>
      </c>
      <c r="I407" s="25" t="s">
        <v>91</v>
      </c>
      <c r="J407" s="25" t="s">
        <v>77</v>
      </c>
      <c r="K407" s="25" t="s">
        <v>92</v>
      </c>
      <c r="L407" s="25"/>
      <c r="M407" s="25" t="s">
        <v>93</v>
      </c>
      <c r="N407" s="25" t="s">
        <v>17</v>
      </c>
      <c r="O407" s="25"/>
      <c r="P407" s="25" t="s">
        <v>15</v>
      </c>
      <c r="Q407" s="25" t="s">
        <v>89</v>
      </c>
      <c r="R407" s="25"/>
    </row>
    <row r="408" spans="1:18">
      <c r="A408" s="25" t="str">
        <f>E408&amp;"_"&amp;COUNTIF(E$3:$E408,E408)&amp;"_"&amp;F408</f>
        <v>52_2_Panneaux_bois_massif_placage_int.</v>
      </c>
      <c r="B408" s="19">
        <v>406</v>
      </c>
      <c r="C408" s="25" t="s">
        <v>101</v>
      </c>
      <c r="D408" s="25" t="s">
        <v>101</v>
      </c>
      <c r="E408" s="25">
        <v>52</v>
      </c>
      <c r="F408" s="25" t="s">
        <v>126</v>
      </c>
      <c r="G408" s="25" t="s">
        <v>75</v>
      </c>
      <c r="H408" s="25" t="s">
        <v>76</v>
      </c>
      <c r="I408" s="25" t="s">
        <v>91</v>
      </c>
      <c r="J408" s="25" t="s">
        <v>77</v>
      </c>
      <c r="K408" s="25" t="s">
        <v>92</v>
      </c>
      <c r="L408" s="25"/>
      <c r="M408" s="25" t="s">
        <v>93</v>
      </c>
      <c r="N408" s="25" t="s">
        <v>17</v>
      </c>
      <c r="O408" s="25"/>
      <c r="P408" s="25" t="s">
        <v>16</v>
      </c>
      <c r="Q408" s="25" t="s">
        <v>89</v>
      </c>
      <c r="R408" s="25"/>
    </row>
    <row r="409" spans="1:18">
      <c r="A409" s="25" t="str">
        <f>E409&amp;"_"&amp;COUNTIF(E$3:$E409,E409)&amp;"_"&amp;F409</f>
        <v>63_1_Panneaux_bois_massif_placage_int.</v>
      </c>
      <c r="B409" s="19">
        <v>407</v>
      </c>
      <c r="C409" s="22" t="s">
        <v>102</v>
      </c>
      <c r="D409" s="22" t="s">
        <v>102</v>
      </c>
      <c r="E409" s="22">
        <v>63</v>
      </c>
      <c r="F409" s="22" t="s">
        <v>126</v>
      </c>
      <c r="G409" s="22" t="s">
        <v>75</v>
      </c>
      <c r="H409" s="22" t="s">
        <v>76</v>
      </c>
      <c r="I409" s="22" t="s">
        <v>91</v>
      </c>
      <c r="J409" s="22" t="s">
        <v>77</v>
      </c>
      <c r="K409" s="22" t="s">
        <v>92</v>
      </c>
      <c r="L409" s="22"/>
      <c r="M409" s="22" t="s">
        <v>93</v>
      </c>
      <c r="N409" s="22" t="s">
        <v>17</v>
      </c>
      <c r="O409" s="22"/>
      <c r="P409" s="22" t="s">
        <v>19</v>
      </c>
      <c r="Q409" s="22" t="s">
        <v>103</v>
      </c>
      <c r="R409" s="22"/>
    </row>
    <row r="410" spans="1:18">
      <c r="A410" s="25" t="str">
        <f>E410&amp;"_"&amp;COUNTIF(E$3:$E410,E410)&amp;"_"&amp;F410</f>
        <v>63_2_Panneaux_bois_massif_placage_int.</v>
      </c>
      <c r="B410" s="19">
        <v>408</v>
      </c>
      <c r="C410" s="22" t="s">
        <v>102</v>
      </c>
      <c r="D410" s="22" t="s">
        <v>102</v>
      </c>
      <c r="E410" s="22">
        <v>63</v>
      </c>
      <c r="F410" s="22" t="s">
        <v>126</v>
      </c>
      <c r="G410" s="22" t="s">
        <v>75</v>
      </c>
      <c r="H410" s="22" t="s">
        <v>76</v>
      </c>
      <c r="I410" s="22" t="s">
        <v>91</v>
      </c>
      <c r="J410" s="22" t="s">
        <v>77</v>
      </c>
      <c r="K410" s="22" t="s">
        <v>92</v>
      </c>
      <c r="L410" s="22"/>
      <c r="M410" s="22" t="s">
        <v>93</v>
      </c>
      <c r="N410" s="22" t="s">
        <v>17</v>
      </c>
      <c r="O410" s="22"/>
      <c r="P410" s="22" t="s">
        <v>20</v>
      </c>
      <c r="Q410" s="22" t="s">
        <v>103</v>
      </c>
      <c r="R410" s="22"/>
    </row>
    <row r="411" spans="1:18">
      <c r="A411" s="25" t="str">
        <f>E411&amp;"_"&amp;COUNTIF(E$3:$E411,E411)&amp;"_"&amp;F411</f>
        <v>63_3_Panneaux_bois_massif_placage_int.</v>
      </c>
      <c r="B411" s="19">
        <v>409</v>
      </c>
      <c r="C411" s="25" t="s">
        <v>104</v>
      </c>
      <c r="D411" s="25" t="s">
        <v>104</v>
      </c>
      <c r="E411" s="25">
        <v>63</v>
      </c>
      <c r="F411" s="25" t="s">
        <v>126</v>
      </c>
      <c r="G411" s="25" t="s">
        <v>75</v>
      </c>
      <c r="H411" s="25" t="s">
        <v>76</v>
      </c>
      <c r="I411" s="25" t="s">
        <v>91</v>
      </c>
      <c r="J411" s="25" t="s">
        <v>77</v>
      </c>
      <c r="K411" s="25" t="s">
        <v>95</v>
      </c>
      <c r="L411" s="25"/>
      <c r="M411" s="25" t="s">
        <v>96</v>
      </c>
      <c r="N411" s="25" t="s">
        <v>17</v>
      </c>
      <c r="O411" s="25"/>
      <c r="P411" s="25" t="s">
        <v>19</v>
      </c>
      <c r="Q411" s="25" t="s">
        <v>103</v>
      </c>
      <c r="R411" s="25"/>
    </row>
    <row r="412" spans="1:18">
      <c r="A412" s="25" t="str">
        <f>E412&amp;"_"&amp;COUNTIF(E$3:$E412,E412)&amp;"_"&amp;F412</f>
        <v>63_4_Panneaux_bois_massif_placage_int.</v>
      </c>
      <c r="B412" s="19">
        <v>410</v>
      </c>
      <c r="C412" s="25" t="s">
        <v>104</v>
      </c>
      <c r="D412" s="25" t="s">
        <v>104</v>
      </c>
      <c r="E412" s="25">
        <v>63</v>
      </c>
      <c r="F412" s="25" t="s">
        <v>126</v>
      </c>
      <c r="G412" s="25" t="s">
        <v>75</v>
      </c>
      <c r="H412" s="25" t="s">
        <v>76</v>
      </c>
      <c r="I412" s="25" t="s">
        <v>91</v>
      </c>
      <c r="J412" s="25" t="s">
        <v>77</v>
      </c>
      <c r="K412" s="25" t="s">
        <v>95</v>
      </c>
      <c r="L412" s="25"/>
      <c r="M412" s="25" t="s">
        <v>96</v>
      </c>
      <c r="N412" s="25" t="s">
        <v>17</v>
      </c>
      <c r="O412" s="25"/>
      <c r="P412" s="25" t="s">
        <v>20</v>
      </c>
      <c r="Q412" s="25" t="s">
        <v>103</v>
      </c>
      <c r="R412" s="25"/>
    </row>
    <row r="413" spans="1:18">
      <c r="A413" s="25" t="str">
        <f>E413&amp;"_"&amp;COUNTIF(E$3:$E413,E413)&amp;"_"&amp;F413</f>
        <v>63_5_Panneaux_bois_massif_placage_int.</v>
      </c>
      <c r="B413" s="19">
        <v>411</v>
      </c>
      <c r="C413" s="22" t="s">
        <v>105</v>
      </c>
      <c r="D413" s="22" t="s">
        <v>105</v>
      </c>
      <c r="E413" s="22">
        <v>63</v>
      </c>
      <c r="F413" s="22" t="s">
        <v>126</v>
      </c>
      <c r="G413" s="22" t="s">
        <v>75</v>
      </c>
      <c r="H413" s="22" t="s">
        <v>76</v>
      </c>
      <c r="I413" s="22" t="s">
        <v>91</v>
      </c>
      <c r="J413" s="22" t="s">
        <v>86</v>
      </c>
      <c r="K413" s="22" t="s">
        <v>92</v>
      </c>
      <c r="L413" s="22"/>
      <c r="M413" s="22" t="s">
        <v>93</v>
      </c>
      <c r="N413" s="22" t="s">
        <v>17</v>
      </c>
      <c r="O413" s="22"/>
      <c r="P413" s="22" t="s">
        <v>19</v>
      </c>
      <c r="Q413" s="22" t="s">
        <v>103</v>
      </c>
      <c r="R413" s="22"/>
    </row>
    <row r="414" spans="1:18">
      <c r="A414" s="25" t="str">
        <f>E414&amp;"_"&amp;COUNTIF(E$3:$E414,E414)&amp;"_"&amp;F414</f>
        <v>63_6_Panneaux_bois_massif_placage_int.</v>
      </c>
      <c r="B414" s="19">
        <v>412</v>
      </c>
      <c r="C414" s="22" t="s">
        <v>105</v>
      </c>
      <c r="D414" s="22" t="s">
        <v>105</v>
      </c>
      <c r="E414" s="22">
        <v>63</v>
      </c>
      <c r="F414" s="22" t="s">
        <v>126</v>
      </c>
      <c r="G414" s="22" t="s">
        <v>75</v>
      </c>
      <c r="H414" s="22" t="s">
        <v>76</v>
      </c>
      <c r="I414" s="22" t="s">
        <v>91</v>
      </c>
      <c r="J414" s="22" t="s">
        <v>86</v>
      </c>
      <c r="K414" s="22" t="s">
        <v>92</v>
      </c>
      <c r="L414" s="22"/>
      <c r="M414" s="22" t="s">
        <v>93</v>
      </c>
      <c r="N414" s="22" t="s">
        <v>17</v>
      </c>
      <c r="O414" s="22"/>
      <c r="P414" s="22" t="s">
        <v>20</v>
      </c>
      <c r="Q414" s="22" t="s">
        <v>103</v>
      </c>
      <c r="R414" s="22"/>
    </row>
    <row r="415" spans="1:18">
      <c r="A415" s="25" t="str">
        <f>E415&amp;"_"&amp;COUNTIF(E$3:$E415,E415)&amp;"_"&amp;F415</f>
        <v>63_7_Panneaux_bois_massif_placage_int.</v>
      </c>
      <c r="B415" s="19">
        <v>413</v>
      </c>
      <c r="C415" s="25" t="s">
        <v>106</v>
      </c>
      <c r="D415" s="25" t="s">
        <v>106</v>
      </c>
      <c r="E415" s="25">
        <v>63</v>
      </c>
      <c r="F415" s="25" t="s">
        <v>126</v>
      </c>
      <c r="G415" s="25" t="s">
        <v>75</v>
      </c>
      <c r="H415" s="25" t="s">
        <v>76</v>
      </c>
      <c r="I415" s="25" t="s">
        <v>91</v>
      </c>
      <c r="J415" s="25" t="s">
        <v>86</v>
      </c>
      <c r="K415" s="25" t="s">
        <v>95</v>
      </c>
      <c r="L415" s="25"/>
      <c r="M415" s="25" t="s">
        <v>96</v>
      </c>
      <c r="N415" s="25" t="s">
        <v>17</v>
      </c>
      <c r="O415" s="25"/>
      <c r="P415" s="25" t="s">
        <v>19</v>
      </c>
      <c r="Q415" s="25" t="s">
        <v>103</v>
      </c>
      <c r="R415" s="25"/>
    </row>
    <row r="416" spans="1:18">
      <c r="A416" s="25" t="str">
        <f>E416&amp;"_"&amp;COUNTIF(E$3:$E416,E416)&amp;"_"&amp;F416</f>
        <v>63_8_Panneaux_bois_massif_placage_int.</v>
      </c>
      <c r="B416" s="19">
        <v>414</v>
      </c>
      <c r="C416" s="25" t="s">
        <v>106</v>
      </c>
      <c r="D416" s="25" t="s">
        <v>106</v>
      </c>
      <c r="E416" s="25">
        <v>63</v>
      </c>
      <c r="F416" s="25" t="s">
        <v>126</v>
      </c>
      <c r="G416" s="25" t="s">
        <v>75</v>
      </c>
      <c r="H416" s="25" t="s">
        <v>76</v>
      </c>
      <c r="I416" s="25" t="s">
        <v>91</v>
      </c>
      <c r="J416" s="25" t="s">
        <v>86</v>
      </c>
      <c r="K416" s="25" t="s">
        <v>95</v>
      </c>
      <c r="L416" s="25"/>
      <c r="M416" s="25" t="s">
        <v>96</v>
      </c>
      <c r="N416" s="25" t="s">
        <v>17</v>
      </c>
      <c r="O416" s="25"/>
      <c r="P416" s="25" t="s">
        <v>20</v>
      </c>
      <c r="Q416" s="25" t="s">
        <v>103</v>
      </c>
      <c r="R416" s="25"/>
    </row>
    <row r="417" spans="1:18">
      <c r="A417" s="25" t="str">
        <f>E417&amp;"_"&amp;COUNTIF(E$3:$E417,E417)&amp;"_"&amp;F417</f>
        <v>37_48_Panneaux_bois_massif_placage_int.</v>
      </c>
      <c r="B417" s="19">
        <v>415</v>
      </c>
      <c r="C417" s="22" t="s">
        <v>107</v>
      </c>
      <c r="D417" s="22" t="s">
        <v>107</v>
      </c>
      <c r="E417" s="22">
        <v>37</v>
      </c>
      <c r="F417" s="22" t="s">
        <v>126</v>
      </c>
      <c r="G417" s="22" t="s">
        <v>108</v>
      </c>
      <c r="H417" s="22"/>
      <c r="I417" s="22"/>
      <c r="J417" s="22" t="s">
        <v>77</v>
      </c>
      <c r="K417" s="22"/>
      <c r="L417" s="22"/>
      <c r="M417" s="22" t="s">
        <v>109</v>
      </c>
      <c r="N417" s="22"/>
      <c r="O417" s="22"/>
      <c r="P417" s="22"/>
      <c r="Q417" s="22"/>
      <c r="R417" s="22"/>
    </row>
    <row r="418" spans="1:18">
      <c r="A418" s="25" t="str">
        <f>E418&amp;"_"&amp;COUNTIF(E$3:$E418,E418)&amp;"_"&amp;F418</f>
        <v>37_49_Panneaux_bois_massif_placage_int.</v>
      </c>
      <c r="B418" s="19">
        <v>416</v>
      </c>
      <c r="C418" s="25" t="s">
        <v>110</v>
      </c>
      <c r="D418" s="25" t="s">
        <v>110</v>
      </c>
      <c r="E418" s="25">
        <v>37</v>
      </c>
      <c r="F418" s="25" t="s">
        <v>126</v>
      </c>
      <c r="G418" s="25" t="s">
        <v>108</v>
      </c>
      <c r="H418" s="25"/>
      <c r="I418" s="25"/>
      <c r="J418" s="25" t="s">
        <v>77</v>
      </c>
      <c r="K418" s="25"/>
      <c r="L418" s="25"/>
      <c r="M418" s="25" t="s">
        <v>109</v>
      </c>
      <c r="N418" s="25"/>
      <c r="O418" s="25"/>
      <c r="P418" s="25" t="s">
        <v>15</v>
      </c>
      <c r="Q418" s="25"/>
      <c r="R418" s="25"/>
    </row>
    <row r="419" spans="1:18">
      <c r="A419" s="25" t="str">
        <f>E419&amp;"_"&amp;COUNTIF(E$3:$E419,E419)&amp;"_"&amp;F419</f>
        <v>37_50_Panneaux_bois_massif_placage_int.</v>
      </c>
      <c r="B419" s="19">
        <v>417</v>
      </c>
      <c r="C419" s="25" t="s">
        <v>110</v>
      </c>
      <c r="D419" s="25" t="s">
        <v>110</v>
      </c>
      <c r="E419" s="25">
        <v>37</v>
      </c>
      <c r="F419" s="25" t="s">
        <v>126</v>
      </c>
      <c r="G419" s="25" t="s">
        <v>108</v>
      </c>
      <c r="H419" s="25"/>
      <c r="I419" s="25"/>
      <c r="J419" s="25" t="s">
        <v>77</v>
      </c>
      <c r="K419" s="25"/>
      <c r="L419" s="25"/>
      <c r="M419" s="25" t="s">
        <v>109</v>
      </c>
      <c r="N419" s="25"/>
      <c r="O419" s="25"/>
      <c r="P419" s="25" t="s">
        <v>16</v>
      </c>
      <c r="Q419" s="25"/>
      <c r="R419" s="25"/>
    </row>
    <row r="420" spans="1:18">
      <c r="A420" s="25" t="str">
        <f>E420&amp;"_"&amp;COUNTIF(E$3:$E420,E420)&amp;"_"&amp;F420</f>
        <v>43_8_Panneaux_bois_massif_placage_int.</v>
      </c>
      <c r="B420" s="19">
        <v>418</v>
      </c>
      <c r="C420" s="22" t="s">
        <v>111</v>
      </c>
      <c r="D420" s="22" t="s">
        <v>111</v>
      </c>
      <c r="E420" s="22">
        <v>43</v>
      </c>
      <c r="F420" s="22" t="s">
        <v>126</v>
      </c>
      <c r="G420" s="22" t="s">
        <v>108</v>
      </c>
      <c r="H420" s="22"/>
      <c r="I420" s="22"/>
      <c r="J420" s="22" t="s">
        <v>77</v>
      </c>
      <c r="K420" s="22"/>
      <c r="L420" s="22"/>
      <c r="M420" s="22" t="s">
        <v>109</v>
      </c>
      <c r="N420" s="22" t="s">
        <v>17</v>
      </c>
      <c r="O420" s="22"/>
      <c r="P420" s="22" t="s">
        <v>15</v>
      </c>
      <c r="Q420" s="22" t="s">
        <v>112</v>
      </c>
      <c r="R420" s="22"/>
    </row>
    <row r="421" spans="1:18">
      <c r="A421" s="25" t="str">
        <f>E421&amp;"_"&amp;COUNTIF(E$3:$E421,E421)&amp;"_"&amp;F421</f>
        <v>43_9_Panneaux_bois_massif_placage_int.</v>
      </c>
      <c r="B421" s="19">
        <v>419</v>
      </c>
      <c r="C421" s="22" t="s">
        <v>111</v>
      </c>
      <c r="D421" s="22" t="s">
        <v>111</v>
      </c>
      <c r="E421" s="22">
        <v>43</v>
      </c>
      <c r="F421" s="22" t="s">
        <v>126</v>
      </c>
      <c r="G421" s="22" t="s">
        <v>108</v>
      </c>
      <c r="H421" s="22"/>
      <c r="I421" s="22"/>
      <c r="J421" s="22" t="s">
        <v>77</v>
      </c>
      <c r="K421" s="22"/>
      <c r="L421" s="22"/>
      <c r="M421" s="22" t="s">
        <v>109</v>
      </c>
      <c r="N421" s="22" t="s">
        <v>17</v>
      </c>
      <c r="O421" s="22"/>
      <c r="P421" s="22" t="s">
        <v>16</v>
      </c>
      <c r="Q421" s="22" t="s">
        <v>112</v>
      </c>
      <c r="R421" s="22"/>
    </row>
    <row r="422" spans="1:18">
      <c r="A422" s="25" t="str">
        <f>E422&amp;"_"&amp;COUNTIF(E$3:$E422,E422)&amp;"_"&amp;F422</f>
        <v>57_1_Panneaux_bois_massif_placage_int.</v>
      </c>
      <c r="B422" s="19">
        <v>420</v>
      </c>
      <c r="C422" s="25" t="s">
        <v>113</v>
      </c>
      <c r="D422" s="25" t="s">
        <v>113</v>
      </c>
      <c r="E422" s="25">
        <v>57</v>
      </c>
      <c r="F422" s="25" t="s">
        <v>126</v>
      </c>
      <c r="G422" s="25" t="s">
        <v>108</v>
      </c>
      <c r="H422" s="25"/>
      <c r="I422" s="25"/>
      <c r="J422" s="25" t="s">
        <v>86</v>
      </c>
      <c r="K422" s="25"/>
      <c r="L422" s="25"/>
      <c r="M422" s="25" t="s">
        <v>109</v>
      </c>
      <c r="N422" s="25" t="s">
        <v>17</v>
      </c>
      <c r="O422" s="25"/>
      <c r="P422" s="25" t="s">
        <v>19</v>
      </c>
      <c r="Q422" s="25" t="s">
        <v>103</v>
      </c>
      <c r="R422" s="25"/>
    </row>
    <row r="423" spans="1:18">
      <c r="A423" s="25" t="str">
        <f>E423&amp;"_"&amp;COUNTIF(E$3:$E423,E423)&amp;"_"&amp;F423</f>
        <v>57_2_Panneaux_bois_massif_placage_int.</v>
      </c>
      <c r="B423" s="19">
        <v>421</v>
      </c>
      <c r="C423" s="25" t="s">
        <v>113</v>
      </c>
      <c r="D423" s="25" t="s">
        <v>113</v>
      </c>
      <c r="E423" s="25">
        <v>57</v>
      </c>
      <c r="F423" s="25" t="s">
        <v>126</v>
      </c>
      <c r="G423" s="25" t="s">
        <v>108</v>
      </c>
      <c r="H423" s="25"/>
      <c r="I423" s="25"/>
      <c r="J423" s="25" t="s">
        <v>86</v>
      </c>
      <c r="K423" s="25"/>
      <c r="L423" s="25"/>
      <c r="M423" s="25" t="s">
        <v>109</v>
      </c>
      <c r="N423" s="25" t="s">
        <v>17</v>
      </c>
      <c r="O423" s="25"/>
      <c r="P423" s="25" t="s">
        <v>20</v>
      </c>
      <c r="Q423" s="25" t="s">
        <v>103</v>
      </c>
      <c r="R423" s="25"/>
    </row>
    <row r="424" spans="1:18">
      <c r="A424" s="25" t="str">
        <f>E424&amp;"_"&amp;COUNTIF(E$3:$E424,E424)&amp;"_"&amp;F424</f>
        <v>45_11_Panneaux_bois_massif_placage_int.</v>
      </c>
      <c r="B424" s="19">
        <v>422</v>
      </c>
      <c r="C424" s="22" t="s">
        <v>114</v>
      </c>
      <c r="D424" s="22" t="s">
        <v>114</v>
      </c>
      <c r="E424" s="22">
        <v>45</v>
      </c>
      <c r="F424" s="22" t="s">
        <v>126</v>
      </c>
      <c r="G424" s="22" t="s">
        <v>108</v>
      </c>
      <c r="H424" s="22"/>
      <c r="I424" s="22"/>
      <c r="J424" s="22" t="s">
        <v>77</v>
      </c>
      <c r="K424" s="22" t="s">
        <v>92</v>
      </c>
      <c r="L424" s="22"/>
      <c r="M424" s="22" t="s">
        <v>115</v>
      </c>
      <c r="N424" s="22" t="s">
        <v>93</v>
      </c>
      <c r="O424" s="22"/>
      <c r="P424" s="22"/>
      <c r="Q424" s="22"/>
      <c r="R424" s="22"/>
    </row>
    <row r="425" spans="1:18">
      <c r="A425" s="25" t="str">
        <f>E425&amp;"_"&amp;COUNTIF(E$3:$E425,E425)&amp;"_"&amp;F425</f>
        <v>45_12_Panneaux_bois_massif_placage_int.</v>
      </c>
      <c r="B425" s="19">
        <v>423</v>
      </c>
      <c r="C425" s="25" t="s">
        <v>116</v>
      </c>
      <c r="D425" s="25" t="s">
        <v>116</v>
      </c>
      <c r="E425" s="25">
        <v>45</v>
      </c>
      <c r="F425" s="25" t="s">
        <v>126</v>
      </c>
      <c r="G425" s="25" t="s">
        <v>108</v>
      </c>
      <c r="H425" s="25"/>
      <c r="I425" s="25"/>
      <c r="J425" s="25" t="s">
        <v>77</v>
      </c>
      <c r="K425" s="25" t="s">
        <v>92</v>
      </c>
      <c r="L425" s="25"/>
      <c r="M425" s="25" t="s">
        <v>115</v>
      </c>
      <c r="N425" s="25" t="s">
        <v>93</v>
      </c>
      <c r="O425" s="25"/>
      <c r="P425" s="25" t="s">
        <v>15</v>
      </c>
      <c r="Q425" s="25"/>
      <c r="R425" s="25"/>
    </row>
    <row r="426" spans="1:18">
      <c r="A426" s="25" t="str">
        <f>E426&amp;"_"&amp;COUNTIF(E$3:$E426,E426)&amp;"_"&amp;F426</f>
        <v>45_13_Panneaux_bois_massif_placage_int.</v>
      </c>
      <c r="B426" s="19">
        <v>424</v>
      </c>
      <c r="C426" s="25" t="s">
        <v>116</v>
      </c>
      <c r="D426" s="25" t="s">
        <v>116</v>
      </c>
      <c r="E426" s="25">
        <v>45</v>
      </c>
      <c r="F426" s="25" t="s">
        <v>126</v>
      </c>
      <c r="G426" s="25" t="s">
        <v>108</v>
      </c>
      <c r="H426" s="25"/>
      <c r="I426" s="25"/>
      <c r="J426" s="25" t="s">
        <v>77</v>
      </c>
      <c r="K426" s="25" t="s">
        <v>92</v>
      </c>
      <c r="L426" s="25"/>
      <c r="M426" s="25" t="s">
        <v>115</v>
      </c>
      <c r="N426" s="25" t="s">
        <v>93</v>
      </c>
      <c r="O426" s="25"/>
      <c r="P426" s="25" t="s">
        <v>16</v>
      </c>
      <c r="Q426" s="25"/>
      <c r="R426" s="25"/>
    </row>
    <row r="427" spans="1:18">
      <c r="A427" s="25" t="str">
        <f>E427&amp;"_"&amp;COUNTIF(E$3:$E427,E427)&amp;"_"&amp;F427</f>
        <v>45_14_Panneaux_bois_massif_placage_int.</v>
      </c>
      <c r="B427" s="19">
        <v>425</v>
      </c>
      <c r="C427" s="22" t="s">
        <v>117</v>
      </c>
      <c r="D427" s="22" t="s">
        <v>117</v>
      </c>
      <c r="E427" s="22">
        <v>45</v>
      </c>
      <c r="F427" s="22" t="s">
        <v>126</v>
      </c>
      <c r="G427" s="22" t="s">
        <v>108</v>
      </c>
      <c r="H427" s="22"/>
      <c r="I427" s="22"/>
      <c r="J427" s="22" t="s">
        <v>86</v>
      </c>
      <c r="K427" s="22" t="s">
        <v>92</v>
      </c>
      <c r="L427" s="22"/>
      <c r="M427" s="22" t="s">
        <v>115</v>
      </c>
      <c r="N427" s="22" t="s">
        <v>93</v>
      </c>
      <c r="O427" s="22"/>
      <c r="P427" s="22" t="s">
        <v>15</v>
      </c>
      <c r="Q427" s="22"/>
      <c r="R427" s="22"/>
    </row>
    <row r="428" spans="1:18">
      <c r="A428" s="25" t="str">
        <f>E428&amp;"_"&amp;COUNTIF(E$3:$E428,E428)&amp;"_"&amp;F428</f>
        <v>45_15_Panneaux_bois_massif_placage_int.</v>
      </c>
      <c r="B428" s="19">
        <v>426</v>
      </c>
      <c r="C428" s="22" t="s">
        <v>117</v>
      </c>
      <c r="D428" s="22" t="s">
        <v>117</v>
      </c>
      <c r="E428" s="22">
        <v>45</v>
      </c>
      <c r="F428" s="22" t="s">
        <v>126</v>
      </c>
      <c r="G428" s="22" t="s">
        <v>108</v>
      </c>
      <c r="H428" s="22"/>
      <c r="I428" s="22"/>
      <c r="J428" s="22" t="s">
        <v>86</v>
      </c>
      <c r="K428" s="22" t="s">
        <v>92</v>
      </c>
      <c r="L428" s="22"/>
      <c r="M428" s="22" t="s">
        <v>115</v>
      </c>
      <c r="N428" s="22" t="s">
        <v>93</v>
      </c>
      <c r="O428" s="22"/>
      <c r="P428" s="22" t="s">
        <v>16</v>
      </c>
      <c r="Q428" s="22"/>
      <c r="R428" s="22"/>
    </row>
    <row r="429" spans="1:18">
      <c r="A429" s="25" t="str">
        <f>E429&amp;"_"&amp;COUNTIF(E$3:$E429,E429)&amp;"_"&amp;F429</f>
        <v>52_3_Panneaux_bois_massif_placage_int.</v>
      </c>
      <c r="B429" s="19">
        <v>427</v>
      </c>
      <c r="C429" s="25" t="s">
        <v>118</v>
      </c>
      <c r="D429" s="25" t="s">
        <v>118</v>
      </c>
      <c r="E429" s="25">
        <v>52</v>
      </c>
      <c r="F429" s="25" t="s">
        <v>126</v>
      </c>
      <c r="G429" s="25" t="s">
        <v>108</v>
      </c>
      <c r="H429" s="25"/>
      <c r="I429" s="25"/>
      <c r="J429" s="25" t="s">
        <v>77</v>
      </c>
      <c r="K429" s="25" t="s">
        <v>92</v>
      </c>
      <c r="L429" s="25"/>
      <c r="M429" s="25" t="s">
        <v>115</v>
      </c>
      <c r="N429" s="25" t="s">
        <v>93</v>
      </c>
      <c r="O429" s="25" t="s">
        <v>17</v>
      </c>
      <c r="P429" s="25" t="s">
        <v>15</v>
      </c>
      <c r="Q429" s="25" t="s">
        <v>112</v>
      </c>
      <c r="R429" s="25"/>
    </row>
    <row r="430" spans="1:18">
      <c r="A430" s="25" t="str">
        <f>E430&amp;"_"&amp;COUNTIF(E$3:$E430,E430)&amp;"_"&amp;F430</f>
        <v>52_4_Panneaux_bois_massif_placage_int.</v>
      </c>
      <c r="B430" s="19">
        <v>428</v>
      </c>
      <c r="C430" s="25" t="s">
        <v>118</v>
      </c>
      <c r="D430" s="25" t="s">
        <v>118</v>
      </c>
      <c r="E430" s="25">
        <v>52</v>
      </c>
      <c r="F430" s="25" t="s">
        <v>126</v>
      </c>
      <c r="G430" s="25" t="s">
        <v>108</v>
      </c>
      <c r="H430" s="25"/>
      <c r="I430" s="25"/>
      <c r="J430" s="25" t="s">
        <v>77</v>
      </c>
      <c r="K430" s="25" t="s">
        <v>92</v>
      </c>
      <c r="L430" s="25"/>
      <c r="M430" s="25" t="s">
        <v>115</v>
      </c>
      <c r="N430" s="25" t="s">
        <v>93</v>
      </c>
      <c r="O430" s="25" t="s">
        <v>17</v>
      </c>
      <c r="P430" s="25" t="s">
        <v>16</v>
      </c>
      <c r="Q430" s="25" t="s">
        <v>112</v>
      </c>
      <c r="R430" s="25"/>
    </row>
    <row r="431" spans="1:18">
      <c r="A431" s="25" t="str">
        <f>E431&amp;"_"&amp;COUNTIF(E$3:$E431,E431)&amp;"_"&amp;F431</f>
        <v>55_1_Panneaux_bois_massif_placage_int.</v>
      </c>
      <c r="B431" s="19">
        <v>429</v>
      </c>
      <c r="C431" s="22" t="s">
        <v>119</v>
      </c>
      <c r="D431" s="22" t="s">
        <v>119</v>
      </c>
      <c r="E431" s="22">
        <v>55</v>
      </c>
      <c r="F431" s="22" t="s">
        <v>126</v>
      </c>
      <c r="G431" s="22" t="s">
        <v>108</v>
      </c>
      <c r="H431" s="22"/>
      <c r="I431" s="22"/>
      <c r="J431" s="22" t="s">
        <v>77</v>
      </c>
      <c r="K431" s="22" t="s">
        <v>92</v>
      </c>
      <c r="L431" s="22"/>
      <c r="M431" s="22" t="s">
        <v>115</v>
      </c>
      <c r="N431" s="22" t="s">
        <v>93</v>
      </c>
      <c r="O431" s="22" t="s">
        <v>17</v>
      </c>
      <c r="P431" s="22" t="s">
        <v>15</v>
      </c>
      <c r="Q431" s="22" t="s">
        <v>103</v>
      </c>
      <c r="R431" s="22"/>
    </row>
    <row r="432" spans="1:18">
      <c r="A432" s="25" t="str">
        <f>E432&amp;"_"&amp;COUNTIF(E$3:$E432,E432)&amp;"_"&amp;F432</f>
        <v>55_2_Panneaux_bois_massif_placage_int.</v>
      </c>
      <c r="B432" s="19">
        <v>430</v>
      </c>
      <c r="C432" s="22" t="s">
        <v>119</v>
      </c>
      <c r="D432" s="22" t="s">
        <v>119</v>
      </c>
      <c r="E432" s="22">
        <v>55</v>
      </c>
      <c r="F432" s="22" t="s">
        <v>126</v>
      </c>
      <c r="G432" s="22" t="s">
        <v>108</v>
      </c>
      <c r="H432" s="22"/>
      <c r="I432" s="22"/>
      <c r="J432" s="22" t="s">
        <v>77</v>
      </c>
      <c r="K432" s="22" t="s">
        <v>92</v>
      </c>
      <c r="L432" s="22"/>
      <c r="M432" s="22" t="s">
        <v>115</v>
      </c>
      <c r="N432" s="22" t="s">
        <v>93</v>
      </c>
      <c r="O432" s="22" t="s">
        <v>17</v>
      </c>
      <c r="P432" s="22" t="s">
        <v>16</v>
      </c>
      <c r="Q432" s="22" t="s">
        <v>103</v>
      </c>
      <c r="R432" s="22"/>
    </row>
    <row r="433" spans="1:18">
      <c r="A433" s="25" t="str">
        <f>E433&amp;"_"&amp;COUNTIF(E$3:$E433,E433)&amp;"_"&amp;F433</f>
        <v>63_9_Panneaux_bois_massif_placage_int.</v>
      </c>
      <c r="B433" s="19">
        <v>431</v>
      </c>
      <c r="C433" s="25" t="s">
        <v>120</v>
      </c>
      <c r="D433" s="25" t="s">
        <v>120</v>
      </c>
      <c r="E433" s="25">
        <v>63</v>
      </c>
      <c r="F433" s="25" t="s">
        <v>126</v>
      </c>
      <c r="G433" s="25" t="s">
        <v>108</v>
      </c>
      <c r="H433" s="25"/>
      <c r="I433" s="25"/>
      <c r="J433" s="25" t="s">
        <v>77</v>
      </c>
      <c r="K433" s="25" t="s">
        <v>92</v>
      </c>
      <c r="L433" s="25"/>
      <c r="M433" s="25" t="s">
        <v>115</v>
      </c>
      <c r="N433" s="25" t="s">
        <v>93</v>
      </c>
      <c r="O433" s="25" t="s">
        <v>17</v>
      </c>
      <c r="P433" s="25" t="s">
        <v>19</v>
      </c>
      <c r="Q433" s="25" t="s">
        <v>103</v>
      </c>
      <c r="R433" s="25"/>
    </row>
    <row r="434" spans="1:18">
      <c r="A434" s="25" t="str">
        <f>E434&amp;"_"&amp;COUNTIF(E$3:$E434,E434)&amp;"_"&amp;F434</f>
        <v>63_10_Panneaux_bois_massif_placage_int.</v>
      </c>
      <c r="B434" s="19">
        <v>432</v>
      </c>
      <c r="C434" s="25" t="s">
        <v>120</v>
      </c>
      <c r="D434" s="25" t="s">
        <v>120</v>
      </c>
      <c r="E434" s="25">
        <v>63</v>
      </c>
      <c r="F434" s="25" t="s">
        <v>126</v>
      </c>
      <c r="G434" s="25" t="s">
        <v>108</v>
      </c>
      <c r="H434" s="25"/>
      <c r="I434" s="25"/>
      <c r="J434" s="25" t="s">
        <v>77</v>
      </c>
      <c r="K434" s="25" t="s">
        <v>92</v>
      </c>
      <c r="L434" s="25"/>
      <c r="M434" s="25" t="s">
        <v>115</v>
      </c>
      <c r="N434" s="25" t="s">
        <v>93</v>
      </c>
      <c r="O434" s="25" t="s">
        <v>17</v>
      </c>
      <c r="P434" s="25" t="s">
        <v>20</v>
      </c>
      <c r="Q434" s="25" t="s">
        <v>103</v>
      </c>
      <c r="R434" s="25"/>
    </row>
    <row r="435" spans="1:18">
      <c r="A435" s="25" t="str">
        <f>E435&amp;"_"&amp;COUNTIF(E$3:$E435,E435)&amp;"_"&amp;F435</f>
        <v>63_11_Panneaux_bois_massif_placage_int.</v>
      </c>
      <c r="B435" s="19">
        <v>433</v>
      </c>
      <c r="C435" s="22" t="s">
        <v>121</v>
      </c>
      <c r="D435" s="22" t="s">
        <v>121</v>
      </c>
      <c r="E435" s="22">
        <v>63</v>
      </c>
      <c r="F435" s="22" t="s">
        <v>126</v>
      </c>
      <c r="G435" s="22" t="s">
        <v>108</v>
      </c>
      <c r="H435" s="22"/>
      <c r="I435" s="22"/>
      <c r="J435" s="22" t="s">
        <v>86</v>
      </c>
      <c r="K435" s="22" t="s">
        <v>92</v>
      </c>
      <c r="L435" s="22"/>
      <c r="M435" s="22" t="s">
        <v>115</v>
      </c>
      <c r="N435" s="22" t="s">
        <v>93</v>
      </c>
      <c r="O435" s="22" t="s">
        <v>17</v>
      </c>
      <c r="P435" s="22" t="s">
        <v>19</v>
      </c>
      <c r="Q435" s="22" t="s">
        <v>103</v>
      </c>
      <c r="R435" s="22"/>
    </row>
    <row r="436" spans="1:18">
      <c r="A436" s="25" t="str">
        <f>E436&amp;"_"&amp;COUNTIF(E$3:$E436,E436)&amp;"_"&amp;F436</f>
        <v>63_12_Panneaux_bois_massif_placage_int.</v>
      </c>
      <c r="B436" s="19">
        <v>434</v>
      </c>
      <c r="C436" s="22" t="s">
        <v>121</v>
      </c>
      <c r="D436" s="22" t="s">
        <v>121</v>
      </c>
      <c r="E436" s="22">
        <v>63</v>
      </c>
      <c r="F436" s="22" t="s">
        <v>126</v>
      </c>
      <c r="G436" s="22" t="s">
        <v>108</v>
      </c>
      <c r="H436" s="22"/>
      <c r="I436" s="22"/>
      <c r="J436" s="22" t="s">
        <v>86</v>
      </c>
      <c r="K436" s="22" t="s">
        <v>92</v>
      </c>
      <c r="L436" s="22"/>
      <c r="M436" s="22" t="s">
        <v>115</v>
      </c>
      <c r="N436" s="22" t="s">
        <v>93</v>
      </c>
      <c r="O436" s="22" t="s">
        <v>17</v>
      </c>
      <c r="P436" s="22" t="s">
        <v>20</v>
      </c>
      <c r="Q436" s="22" t="s">
        <v>103</v>
      </c>
      <c r="R436" s="22"/>
    </row>
    <row r="437" spans="1:18">
      <c r="A437" s="25" t="str">
        <f>E437&amp;"_"&amp;COUNTIF(E$3:$E437,E437)&amp;"_"&amp;F437</f>
        <v>33_11_Ossature_contreventement_ext</v>
      </c>
      <c r="B437" s="23">
        <v>435</v>
      </c>
      <c r="C437" s="23" t="s">
        <v>128</v>
      </c>
      <c r="D437" s="23" t="s">
        <v>129</v>
      </c>
      <c r="E437" s="23">
        <v>33</v>
      </c>
      <c r="F437" s="23" t="s">
        <v>39</v>
      </c>
      <c r="G437" s="23" t="s">
        <v>130</v>
      </c>
      <c r="H437" s="23"/>
      <c r="I437" s="23" t="s">
        <v>67</v>
      </c>
      <c r="J437" s="23" t="s">
        <v>131</v>
      </c>
      <c r="K437" s="23" t="s">
        <v>132</v>
      </c>
      <c r="L437" s="23" t="s">
        <v>133</v>
      </c>
      <c r="M437" s="23" t="s">
        <v>134</v>
      </c>
      <c r="N437" s="23"/>
      <c r="O437" s="23"/>
      <c r="P437" s="23" t="s">
        <v>135</v>
      </c>
      <c r="Q437" s="23"/>
      <c r="R437" s="23" t="s">
        <v>67</v>
      </c>
    </row>
    <row r="438" spans="1:18">
      <c r="A438" s="25" t="str">
        <f>E438&amp;"_"&amp;COUNTIF(E$3:$E438,E438)&amp;"_"&amp;F438</f>
        <v>34_22_Ossature_contreventement_ext</v>
      </c>
      <c r="B438" s="23">
        <v>436</v>
      </c>
      <c r="C438" s="23" t="s">
        <v>136</v>
      </c>
      <c r="D438" s="23" t="s">
        <v>129</v>
      </c>
      <c r="E438" s="23">
        <v>34</v>
      </c>
      <c r="F438" s="23" t="s">
        <v>39</v>
      </c>
      <c r="G438" s="23" t="s">
        <v>130</v>
      </c>
      <c r="H438" s="23"/>
      <c r="I438" s="23" t="s">
        <v>67</v>
      </c>
      <c r="J438" s="23" t="s">
        <v>131</v>
      </c>
      <c r="K438" s="23" t="s">
        <v>132</v>
      </c>
      <c r="L438" s="23" t="s">
        <v>133</v>
      </c>
      <c r="M438" s="23" t="s">
        <v>137</v>
      </c>
      <c r="N438" s="23"/>
      <c r="O438" s="23"/>
      <c r="P438" s="23" t="s">
        <v>135</v>
      </c>
      <c r="Q438" s="23"/>
      <c r="R438" s="23" t="s">
        <v>67</v>
      </c>
    </row>
    <row r="439" spans="1:18">
      <c r="A439" s="25" t="str">
        <f>E439&amp;"_"&amp;COUNTIF(E$3:$E439,E439)&amp;"_"&amp;F439</f>
        <v>32_3_Ossature_contreventement_ext</v>
      </c>
      <c r="B439" s="23">
        <v>437</v>
      </c>
      <c r="C439" s="23" t="s">
        <v>138</v>
      </c>
      <c r="D439" s="23" t="s">
        <v>129</v>
      </c>
      <c r="E439" s="23">
        <v>32</v>
      </c>
      <c r="F439" s="23" t="s">
        <v>39</v>
      </c>
      <c r="G439" s="23" t="s">
        <v>130</v>
      </c>
      <c r="H439" s="23"/>
      <c r="I439" s="23" t="s">
        <v>67</v>
      </c>
      <c r="J439" s="23" t="s">
        <v>131</v>
      </c>
      <c r="K439" s="23" t="s">
        <v>132</v>
      </c>
      <c r="L439" s="23" t="s">
        <v>139</v>
      </c>
      <c r="M439" s="23" t="s">
        <v>137</v>
      </c>
      <c r="N439" s="23" t="s">
        <v>140</v>
      </c>
      <c r="O439" s="23"/>
      <c r="P439" s="23" t="s">
        <v>141</v>
      </c>
      <c r="Q439" s="23"/>
      <c r="R439" s="23" t="s">
        <v>67</v>
      </c>
    </row>
    <row r="440" spans="1:18">
      <c r="A440" s="25" t="str">
        <f>E440&amp;"_"&amp;COUNTIF(E$3:$E440,E440)&amp;"_"&amp;F440</f>
        <v>31_1_Ossature_contreventement_ext</v>
      </c>
      <c r="B440" s="23">
        <v>438</v>
      </c>
      <c r="C440" s="23" t="s">
        <v>142</v>
      </c>
      <c r="D440" s="23" t="s">
        <v>129</v>
      </c>
      <c r="E440" s="23">
        <v>31</v>
      </c>
      <c r="F440" s="23" t="s">
        <v>39</v>
      </c>
      <c r="G440" s="23" t="s">
        <v>130</v>
      </c>
      <c r="H440" s="23"/>
      <c r="I440" s="23" t="s">
        <v>67</v>
      </c>
      <c r="J440" s="23" t="s">
        <v>131</v>
      </c>
      <c r="K440" s="23" t="s">
        <v>132</v>
      </c>
      <c r="L440" s="23" t="s">
        <v>139</v>
      </c>
      <c r="M440" s="23" t="s">
        <v>134</v>
      </c>
      <c r="N440" s="23" t="s">
        <v>140</v>
      </c>
      <c r="O440" s="23"/>
      <c r="P440" s="23" t="s">
        <v>141</v>
      </c>
      <c r="Q440" s="23"/>
      <c r="R440" s="23" t="s">
        <v>67</v>
      </c>
    </row>
    <row r="441" spans="1:18">
      <c r="A441" s="25" t="str">
        <f>E441&amp;"_"&amp;COUNTIF(E$3:$E441,E441)&amp;"_"&amp;F441</f>
        <v>35_38_Ossature_contreventement_ext</v>
      </c>
      <c r="B441" s="23">
        <v>439</v>
      </c>
      <c r="C441" s="23" t="s">
        <v>143</v>
      </c>
      <c r="D441" s="23" t="s">
        <v>129</v>
      </c>
      <c r="E441" s="23">
        <v>35</v>
      </c>
      <c r="F441" s="23" t="s">
        <v>39</v>
      </c>
      <c r="G441" s="23" t="s">
        <v>130</v>
      </c>
      <c r="H441" s="23"/>
      <c r="I441" s="23" t="s">
        <v>67</v>
      </c>
      <c r="J441" s="23" t="s">
        <v>131</v>
      </c>
      <c r="K441" s="23" t="s">
        <v>132</v>
      </c>
      <c r="L441" s="23" t="s">
        <v>144</v>
      </c>
      <c r="M441" s="23" t="s">
        <v>137</v>
      </c>
      <c r="N441" s="23" t="s">
        <v>140</v>
      </c>
      <c r="O441" s="23"/>
      <c r="P441" s="23" t="s">
        <v>135</v>
      </c>
      <c r="Q441" s="23"/>
      <c r="R441" s="23" t="s">
        <v>67</v>
      </c>
    </row>
    <row r="442" spans="1:18">
      <c r="A442" s="25" t="str">
        <f>E442&amp;"_"&amp;COUNTIF(E$3:$E442,E442)&amp;"_"&amp;F442</f>
        <v>36_48_Ossature_contreventement_ext</v>
      </c>
      <c r="B442" s="23">
        <v>440</v>
      </c>
      <c r="C442" s="23" t="s">
        <v>145</v>
      </c>
      <c r="D442" s="23" t="s">
        <v>129</v>
      </c>
      <c r="E442" s="23">
        <v>36</v>
      </c>
      <c r="F442" s="23" t="s">
        <v>39</v>
      </c>
      <c r="G442" s="23" t="s">
        <v>130</v>
      </c>
      <c r="H442" s="23"/>
      <c r="I442" s="23" t="s">
        <v>67</v>
      </c>
      <c r="J442" s="23" t="s">
        <v>131</v>
      </c>
      <c r="K442" s="23" t="s">
        <v>132</v>
      </c>
      <c r="L442" s="23" t="s">
        <v>139</v>
      </c>
      <c r="M442" s="23" t="s">
        <v>137</v>
      </c>
      <c r="N442" s="23" t="s">
        <v>140</v>
      </c>
      <c r="O442" s="23"/>
      <c r="P442" s="23" t="s">
        <v>146</v>
      </c>
      <c r="Q442" s="23"/>
      <c r="R442" s="23" t="s">
        <v>67</v>
      </c>
    </row>
    <row r="443" spans="1:18">
      <c r="A443" s="25" t="str">
        <f>E443&amp;"_"&amp;COUNTIF(E$3:$E443,E443)&amp;"_"&amp;F443</f>
        <v>46_7_Ossature_contreventement_ext</v>
      </c>
      <c r="B443" s="23">
        <v>441</v>
      </c>
      <c r="C443" s="23" t="s">
        <v>147</v>
      </c>
      <c r="D443" s="23" t="s">
        <v>129</v>
      </c>
      <c r="E443" s="23">
        <v>46</v>
      </c>
      <c r="F443" s="23" t="s">
        <v>39</v>
      </c>
      <c r="G443" s="23" t="s">
        <v>130</v>
      </c>
      <c r="H443" s="23"/>
      <c r="I443" s="23" t="s">
        <v>67</v>
      </c>
      <c r="J443" s="23" t="s">
        <v>131</v>
      </c>
      <c r="K443" s="23" t="s">
        <v>132</v>
      </c>
      <c r="L443" s="23" t="s">
        <v>148</v>
      </c>
      <c r="M443" s="23" t="s">
        <v>134</v>
      </c>
      <c r="N443" s="23" t="s">
        <v>149</v>
      </c>
      <c r="O443" s="23"/>
      <c r="P443" s="23" t="s">
        <v>141</v>
      </c>
      <c r="Q443" s="23"/>
      <c r="R443" s="23" t="s">
        <v>67</v>
      </c>
    </row>
    <row r="444" spans="1:18">
      <c r="A444" s="25" t="str">
        <f>E444&amp;"_"&amp;COUNTIF(E$3:$E444,E444)&amp;"_"&amp;F444</f>
        <v>48_16_Ossature_contreventement_ext</v>
      </c>
      <c r="B444" s="23">
        <v>442</v>
      </c>
      <c r="C444" s="23" t="s">
        <v>150</v>
      </c>
      <c r="D444" s="23" t="s">
        <v>129</v>
      </c>
      <c r="E444" s="23">
        <v>48</v>
      </c>
      <c r="F444" s="23" t="s">
        <v>39</v>
      </c>
      <c r="G444" s="23" t="s">
        <v>130</v>
      </c>
      <c r="H444" s="23"/>
      <c r="I444" s="23" t="s">
        <v>67</v>
      </c>
      <c r="J444" s="23" t="s">
        <v>131</v>
      </c>
      <c r="K444" s="23" t="s">
        <v>132</v>
      </c>
      <c r="L444" s="23" t="s">
        <v>148</v>
      </c>
      <c r="M444" s="23" t="s">
        <v>134</v>
      </c>
      <c r="N444" s="23" t="s">
        <v>149</v>
      </c>
      <c r="O444" s="23"/>
      <c r="P444" s="23" t="s">
        <v>151</v>
      </c>
      <c r="Q444" s="23"/>
      <c r="R444" s="23" t="s">
        <v>67</v>
      </c>
    </row>
    <row r="445" spans="1:18">
      <c r="A445" s="25" t="str">
        <f>E445&amp;"_"&amp;COUNTIF(E$3:$E445,E445)&amp;"_"&amp;F445</f>
        <v>52_5_Ossature_contreventement_ext</v>
      </c>
      <c r="B445" s="23">
        <v>443</v>
      </c>
      <c r="C445" s="23" t="s">
        <v>152</v>
      </c>
      <c r="D445" s="23" t="s">
        <v>129</v>
      </c>
      <c r="E445" s="23">
        <v>52</v>
      </c>
      <c r="F445" s="23" t="s">
        <v>39</v>
      </c>
      <c r="G445" s="23" t="s">
        <v>130</v>
      </c>
      <c r="H445" s="23"/>
      <c r="I445" s="23" t="s">
        <v>67</v>
      </c>
      <c r="J445" s="23" t="s">
        <v>131</v>
      </c>
      <c r="K445" s="23" t="s">
        <v>132</v>
      </c>
      <c r="L445" s="23" t="s">
        <v>148</v>
      </c>
      <c r="M445" s="23" t="s">
        <v>134</v>
      </c>
      <c r="N445" s="23" t="s">
        <v>149</v>
      </c>
      <c r="O445" s="23"/>
      <c r="P445" s="23" t="s">
        <v>153</v>
      </c>
      <c r="Q445" s="23"/>
      <c r="R445" s="23" t="s">
        <v>67</v>
      </c>
    </row>
    <row r="446" spans="1:18">
      <c r="A446" s="25" t="str">
        <f>E446&amp;"_"&amp;COUNTIF(E$3:$E446,E446)&amp;"_"&amp;F446</f>
        <v>33_12_Ossature_contreventement_ext</v>
      </c>
      <c r="B446" s="23">
        <v>444</v>
      </c>
      <c r="C446" s="23" t="s">
        <v>154</v>
      </c>
      <c r="D446" s="23" t="s">
        <v>129</v>
      </c>
      <c r="E446" s="23">
        <v>33</v>
      </c>
      <c r="F446" s="23" t="s">
        <v>39</v>
      </c>
      <c r="G446" s="23" t="s">
        <v>130</v>
      </c>
      <c r="H446" s="23"/>
      <c r="I446" s="23" t="s">
        <v>67</v>
      </c>
      <c r="J446" s="23" t="s">
        <v>131</v>
      </c>
      <c r="K446" s="23" t="s">
        <v>132</v>
      </c>
      <c r="L446" s="23" t="s">
        <v>155</v>
      </c>
      <c r="M446" s="23" t="s">
        <v>137</v>
      </c>
      <c r="N446" s="23" t="s">
        <v>156</v>
      </c>
      <c r="O446" s="23"/>
      <c r="P446" s="23" t="s">
        <v>141</v>
      </c>
      <c r="Q446" s="23"/>
      <c r="R446" s="23" t="s">
        <v>67</v>
      </c>
    </row>
    <row r="447" spans="1:18">
      <c r="A447" s="25" t="str">
        <f>E447&amp;"_"&amp;COUNTIF(E$3:$E447,E447)&amp;"_"&amp;F447</f>
        <v>36_49_Ossature_contreventement_ext</v>
      </c>
      <c r="B447" s="23">
        <v>445</v>
      </c>
      <c r="C447" s="23" t="s">
        <v>157</v>
      </c>
      <c r="D447" s="23" t="s">
        <v>129</v>
      </c>
      <c r="E447" s="23">
        <v>36</v>
      </c>
      <c r="F447" s="23" t="s">
        <v>39</v>
      </c>
      <c r="G447" s="23" t="s">
        <v>130</v>
      </c>
      <c r="H447" s="23"/>
      <c r="I447" s="23" t="s">
        <v>67</v>
      </c>
      <c r="J447" s="23" t="s">
        <v>131</v>
      </c>
      <c r="K447" s="23" t="s">
        <v>132</v>
      </c>
      <c r="L447" s="23" t="s">
        <v>155</v>
      </c>
      <c r="M447" s="23" t="s">
        <v>137</v>
      </c>
      <c r="N447" s="23" t="s">
        <v>156</v>
      </c>
      <c r="O447" s="23"/>
      <c r="P447" s="23" t="s">
        <v>135</v>
      </c>
      <c r="Q447" s="23"/>
      <c r="R447" s="23" t="s">
        <v>67</v>
      </c>
    </row>
    <row r="448" spans="1:18">
      <c r="A448" s="25" t="str">
        <f>E448&amp;"_"&amp;COUNTIF(E$3:$E448,E448)&amp;"_"&amp;F448</f>
        <v>33_13_Ossature_contreventement_ext</v>
      </c>
      <c r="B448" s="23">
        <v>446</v>
      </c>
      <c r="C448" s="23" t="s">
        <v>158</v>
      </c>
      <c r="D448" s="23" t="s">
        <v>129</v>
      </c>
      <c r="E448" s="23">
        <v>33</v>
      </c>
      <c r="F448" s="23" t="s">
        <v>39</v>
      </c>
      <c r="G448" s="23" t="s">
        <v>130</v>
      </c>
      <c r="H448" s="23" t="s">
        <v>159</v>
      </c>
      <c r="I448" s="23" t="s">
        <v>67</v>
      </c>
      <c r="J448" s="23" t="s">
        <v>131</v>
      </c>
      <c r="K448" s="23" t="s">
        <v>132</v>
      </c>
      <c r="L448" s="23" t="s">
        <v>133</v>
      </c>
      <c r="M448" s="23" t="s">
        <v>160</v>
      </c>
      <c r="N448" s="23" t="s">
        <v>161</v>
      </c>
      <c r="O448" s="23"/>
      <c r="P448" s="23" t="s">
        <v>141</v>
      </c>
      <c r="Q448" s="23"/>
      <c r="R448" s="23" t="s">
        <v>67</v>
      </c>
    </row>
    <row r="449" spans="1:18">
      <c r="A449" s="25" t="str">
        <f>E449&amp;"_"&amp;COUNTIF(E$3:$E449,E449)&amp;"_"&amp;F449</f>
        <v>33_14_Ossature_contreventement_ext</v>
      </c>
      <c r="B449" s="23">
        <v>447</v>
      </c>
      <c r="C449" s="23" t="s">
        <v>162</v>
      </c>
      <c r="D449" s="23" t="s">
        <v>129</v>
      </c>
      <c r="E449" s="23">
        <v>33</v>
      </c>
      <c r="F449" s="23" t="s">
        <v>39</v>
      </c>
      <c r="G449" s="23" t="s">
        <v>130</v>
      </c>
      <c r="H449" s="23"/>
      <c r="I449" s="23" t="s">
        <v>67</v>
      </c>
      <c r="J449" s="23" t="s">
        <v>131</v>
      </c>
      <c r="K449" s="23" t="s">
        <v>132</v>
      </c>
      <c r="L449" s="23" t="s">
        <v>133</v>
      </c>
      <c r="M449" s="23" t="s">
        <v>137</v>
      </c>
      <c r="N449" s="23" t="s">
        <v>163</v>
      </c>
      <c r="O449" s="23"/>
      <c r="P449" s="23" t="s">
        <v>141</v>
      </c>
      <c r="Q449" s="23"/>
      <c r="R449" s="23" t="s">
        <v>67</v>
      </c>
    </row>
    <row r="450" spans="1:18">
      <c r="A450" s="25" t="str">
        <f>E450&amp;"_"&amp;COUNTIF(E$3:$E450,E450)&amp;"_"&amp;F450</f>
        <v>35_39_Ossature_contreventement_ext</v>
      </c>
      <c r="B450" s="23">
        <v>448</v>
      </c>
      <c r="C450" s="23" t="s">
        <v>164</v>
      </c>
      <c r="D450" s="23" t="s">
        <v>129</v>
      </c>
      <c r="E450" s="23">
        <v>35</v>
      </c>
      <c r="F450" s="23" t="s">
        <v>39</v>
      </c>
      <c r="G450" s="23" t="s">
        <v>130</v>
      </c>
      <c r="H450" s="23"/>
      <c r="I450" s="23" t="s">
        <v>67</v>
      </c>
      <c r="J450" s="23" t="s">
        <v>131</v>
      </c>
      <c r="K450" s="23" t="s">
        <v>132</v>
      </c>
      <c r="L450" s="23" t="s">
        <v>133</v>
      </c>
      <c r="M450" s="23" t="s">
        <v>137</v>
      </c>
      <c r="N450" s="23" t="s">
        <v>163</v>
      </c>
      <c r="O450" s="23"/>
      <c r="P450" s="23" t="s">
        <v>135</v>
      </c>
      <c r="Q450" s="23"/>
      <c r="R450" s="23" t="s">
        <v>67</v>
      </c>
    </row>
    <row r="451" spans="1:18">
      <c r="A451" s="25" t="str">
        <f>E451&amp;"_"&amp;COUNTIF(E$3:$E451,E451)&amp;"_"&amp;F451</f>
        <v>34_23_Ossature_contreventement_ext</v>
      </c>
      <c r="B451" s="23">
        <v>449</v>
      </c>
      <c r="C451" s="23" t="s">
        <v>165</v>
      </c>
      <c r="D451" s="23" t="s">
        <v>129</v>
      </c>
      <c r="E451" s="23">
        <v>34</v>
      </c>
      <c r="F451" s="23" t="s">
        <v>39</v>
      </c>
      <c r="G451" s="23" t="s">
        <v>130</v>
      </c>
      <c r="H451" s="23" t="s">
        <v>159</v>
      </c>
      <c r="I451" s="23" t="s">
        <v>67</v>
      </c>
      <c r="J451" s="23" t="s">
        <v>131</v>
      </c>
      <c r="K451" s="23" t="s">
        <v>132</v>
      </c>
      <c r="L451" s="23" t="s">
        <v>133</v>
      </c>
      <c r="M451" s="23" t="s">
        <v>160</v>
      </c>
      <c r="N451" s="23" t="s">
        <v>161</v>
      </c>
      <c r="O451" s="23"/>
      <c r="P451" s="23" t="s">
        <v>135</v>
      </c>
      <c r="Q451" s="23"/>
      <c r="R451" s="23" t="s">
        <v>67</v>
      </c>
    </row>
    <row r="452" spans="1:18">
      <c r="A452" s="25" t="str">
        <f>E452&amp;"_"&amp;COUNTIF(E$3:$E452,E452)&amp;"_"&amp;F452</f>
        <v>40_25_Ossature_contreventement_ext</v>
      </c>
      <c r="B452" s="23">
        <v>450</v>
      </c>
      <c r="C452" s="23" t="s">
        <v>166</v>
      </c>
      <c r="D452" s="23" t="s">
        <v>129</v>
      </c>
      <c r="E452" s="23">
        <v>40</v>
      </c>
      <c r="F452" s="23" t="s">
        <v>39</v>
      </c>
      <c r="G452" s="23" t="s">
        <v>130</v>
      </c>
      <c r="H452" s="23" t="s">
        <v>159</v>
      </c>
      <c r="I452" s="23" t="s">
        <v>67</v>
      </c>
      <c r="J452" s="23" t="s">
        <v>131</v>
      </c>
      <c r="K452" s="23" t="s">
        <v>132</v>
      </c>
      <c r="L452" s="23" t="s">
        <v>167</v>
      </c>
      <c r="M452" s="23" t="s">
        <v>168</v>
      </c>
      <c r="N452" s="23" t="s">
        <v>161</v>
      </c>
      <c r="O452" s="23"/>
      <c r="P452" s="23" t="s">
        <v>151</v>
      </c>
      <c r="Q452" s="23"/>
      <c r="R452" s="23" t="s">
        <v>67</v>
      </c>
    </row>
    <row r="453" spans="1:18">
      <c r="A453" s="25" t="str">
        <f>E453&amp;"_"&amp;COUNTIF(E$3:$E453,E453)&amp;"_"&amp;F453</f>
        <v>43_10_Ossature_contreventement_ext</v>
      </c>
      <c r="B453" s="23">
        <v>451</v>
      </c>
      <c r="C453" s="23" t="s">
        <v>169</v>
      </c>
      <c r="D453" s="23" t="s">
        <v>129</v>
      </c>
      <c r="E453" s="23">
        <v>43</v>
      </c>
      <c r="F453" s="23" t="s">
        <v>39</v>
      </c>
      <c r="G453" s="23" t="s">
        <v>130</v>
      </c>
      <c r="H453" s="23" t="s">
        <v>159</v>
      </c>
      <c r="I453" s="23" t="s">
        <v>67</v>
      </c>
      <c r="J453" s="23" t="s">
        <v>131</v>
      </c>
      <c r="K453" s="23" t="s">
        <v>132</v>
      </c>
      <c r="L453" s="23" t="s">
        <v>167</v>
      </c>
      <c r="M453" s="23" t="s">
        <v>168</v>
      </c>
      <c r="N453" s="23" t="s">
        <v>161</v>
      </c>
      <c r="O453" s="23"/>
      <c r="P453" s="23" t="s">
        <v>153</v>
      </c>
      <c r="Q453" s="23"/>
      <c r="R453" s="23" t="s">
        <v>67</v>
      </c>
    </row>
    <row r="454" spans="1:18">
      <c r="A454" s="25" t="str">
        <f>E454&amp;"_"&amp;COUNTIF(E$3:$E454,E454)&amp;"_"&amp;F454</f>
        <v>34_24_Ossature_contreventement_int</v>
      </c>
      <c r="B454" s="24"/>
      <c r="C454" s="24" t="s">
        <v>170</v>
      </c>
      <c r="D454" s="24" t="s">
        <v>129</v>
      </c>
      <c r="E454" s="24">
        <v>34</v>
      </c>
      <c r="F454" s="24" t="s">
        <v>59</v>
      </c>
      <c r="G454" s="24" t="s">
        <v>130</v>
      </c>
      <c r="H454" s="24"/>
      <c r="I454" s="24" t="s">
        <v>67</v>
      </c>
      <c r="J454" s="24" t="s">
        <v>131</v>
      </c>
      <c r="K454" s="24" t="s">
        <v>132</v>
      </c>
      <c r="L454" s="24" t="s">
        <v>133</v>
      </c>
      <c r="M454" s="24" t="s">
        <v>137</v>
      </c>
      <c r="N454" s="24" t="s">
        <v>163</v>
      </c>
      <c r="O454" s="24"/>
      <c r="P454" s="24" t="s">
        <v>141</v>
      </c>
      <c r="Q454" s="24"/>
      <c r="R454" s="24" t="s">
        <v>67</v>
      </c>
    </row>
    <row r="455" spans="1:18">
      <c r="A455" s="25" t="str">
        <f>E455&amp;"_"&amp;COUNTIF(E$3:$E455,E455)&amp;"_"&amp;F455</f>
        <v>32_4_Ossature_contreventement_int</v>
      </c>
      <c r="B455" s="24"/>
      <c r="C455" s="24" t="s">
        <v>171</v>
      </c>
      <c r="D455" s="24" t="s">
        <v>129</v>
      </c>
      <c r="E455" s="24">
        <v>32</v>
      </c>
      <c r="F455" s="24" t="s">
        <v>59</v>
      </c>
      <c r="G455" s="24" t="s">
        <v>130</v>
      </c>
      <c r="H455" s="24" t="s">
        <v>159</v>
      </c>
      <c r="I455" s="24" t="s">
        <v>67</v>
      </c>
      <c r="J455" s="24" t="s">
        <v>131</v>
      </c>
      <c r="K455" s="24" t="s">
        <v>132</v>
      </c>
      <c r="L455" s="24" t="s">
        <v>133</v>
      </c>
      <c r="M455" s="24" t="s">
        <v>168</v>
      </c>
      <c r="N455" s="24" t="s">
        <v>161</v>
      </c>
      <c r="O455" s="24"/>
      <c r="P455" s="24" t="s">
        <v>141</v>
      </c>
      <c r="Q455" s="24"/>
      <c r="R455" s="24" t="s">
        <v>67</v>
      </c>
    </row>
    <row r="456" spans="1:18">
      <c r="A456" s="25" t="str">
        <f>E456&amp;"_"&amp;COUNTIF(E$3:$E456,E456)&amp;"_"&amp;F456</f>
        <v>36_50_Ossature_contreventement_int</v>
      </c>
      <c r="B456" s="24"/>
      <c r="C456" s="24" t="s">
        <v>172</v>
      </c>
      <c r="D456" s="24" t="s">
        <v>129</v>
      </c>
      <c r="E456" s="24">
        <v>36</v>
      </c>
      <c r="F456" s="24" t="s">
        <v>59</v>
      </c>
      <c r="G456" s="24" t="s">
        <v>130</v>
      </c>
      <c r="H456" s="24"/>
      <c r="I456" s="24" t="s">
        <v>67</v>
      </c>
      <c r="J456" s="24" t="s">
        <v>131</v>
      </c>
      <c r="K456" s="24" t="s">
        <v>132</v>
      </c>
      <c r="L456" s="24" t="s">
        <v>133</v>
      </c>
      <c r="M456" s="24" t="s">
        <v>137</v>
      </c>
      <c r="N456" s="24" t="s">
        <v>163</v>
      </c>
      <c r="O456" s="24"/>
      <c r="P456" s="24" t="s">
        <v>135</v>
      </c>
      <c r="Q456" s="24"/>
      <c r="R456" s="24" t="s">
        <v>67</v>
      </c>
    </row>
    <row r="457" spans="1:18">
      <c r="A457" s="25" t="str">
        <f>E457&amp;"_"&amp;COUNTIF(E$3:$E457,E457)&amp;"_"&amp;F457</f>
        <v>33_15_Ossature_contreventement_int</v>
      </c>
      <c r="B457" s="24"/>
      <c r="C457" s="24" t="s">
        <v>173</v>
      </c>
      <c r="D457" s="24" t="s">
        <v>129</v>
      </c>
      <c r="E457" s="24">
        <v>33</v>
      </c>
      <c r="F457" s="24" t="s">
        <v>59</v>
      </c>
      <c r="G457" s="24" t="s">
        <v>130</v>
      </c>
      <c r="H457" s="24" t="s">
        <v>159</v>
      </c>
      <c r="I457" s="24" t="s">
        <v>67</v>
      </c>
      <c r="J457" s="24" t="s">
        <v>131</v>
      </c>
      <c r="K457" s="24" t="s">
        <v>132</v>
      </c>
      <c r="L457" s="24" t="s">
        <v>133</v>
      </c>
      <c r="M457" s="24" t="s">
        <v>168</v>
      </c>
      <c r="N457" s="24" t="s">
        <v>161</v>
      </c>
      <c r="O457" s="24"/>
      <c r="P457" s="24" t="s">
        <v>135</v>
      </c>
      <c r="Q457" s="24"/>
      <c r="R457" s="24" t="s">
        <v>67</v>
      </c>
    </row>
    <row r="458" spans="1:18">
      <c r="A458" s="25" t="str">
        <f>E458&amp;"_"&amp;COUNTIF(E$3:$E458,E458)&amp;"_"&amp;F458</f>
        <v>33_16_Ossature_contreventement_ext</v>
      </c>
      <c r="B458" s="23"/>
      <c r="C458" s="23" t="s">
        <v>174</v>
      </c>
      <c r="D458" s="23" t="s">
        <v>129</v>
      </c>
      <c r="E458" s="23">
        <v>33</v>
      </c>
      <c r="F458" s="23" t="s">
        <v>39</v>
      </c>
      <c r="G458" s="23" t="s">
        <v>130</v>
      </c>
      <c r="H458" s="23"/>
      <c r="I458" s="23" t="s">
        <v>67</v>
      </c>
      <c r="J458" s="23" t="s">
        <v>131</v>
      </c>
      <c r="K458" s="23" t="s">
        <v>132</v>
      </c>
      <c r="L458" s="23" t="s">
        <v>139</v>
      </c>
      <c r="M458" s="23" t="s">
        <v>137</v>
      </c>
      <c r="N458" s="23" t="s">
        <v>175</v>
      </c>
      <c r="O458" s="23"/>
      <c r="P458" s="23" t="s">
        <v>141</v>
      </c>
      <c r="Q458" s="23"/>
      <c r="R458" s="23" t="s">
        <v>67</v>
      </c>
    </row>
    <row r="459" spans="1:18">
      <c r="A459" s="25" t="str">
        <f>E459&amp;"_"&amp;COUNTIF(E$3:$E459,E459)&amp;"_"&amp;F459</f>
        <v>36_51_Ossature_contreventement_ext</v>
      </c>
      <c r="B459" s="23"/>
      <c r="C459" s="23" t="s">
        <v>176</v>
      </c>
      <c r="D459" s="23" t="s">
        <v>129</v>
      </c>
      <c r="E459" s="23">
        <v>36</v>
      </c>
      <c r="F459" s="23" t="s">
        <v>39</v>
      </c>
      <c r="G459" s="23" t="s">
        <v>130</v>
      </c>
      <c r="H459" s="23"/>
      <c r="I459" s="23" t="s">
        <v>67</v>
      </c>
      <c r="J459" s="23" t="s">
        <v>131</v>
      </c>
      <c r="K459" s="23" t="s">
        <v>132</v>
      </c>
      <c r="L459" s="23" t="s">
        <v>177</v>
      </c>
      <c r="M459" s="23" t="s">
        <v>137</v>
      </c>
      <c r="N459" s="23" t="s">
        <v>175</v>
      </c>
      <c r="O459" s="23"/>
      <c r="P459" s="23" t="s">
        <v>135</v>
      </c>
      <c r="Q459" s="23"/>
      <c r="R459" s="23" t="s">
        <v>67</v>
      </c>
    </row>
    <row r="460" spans="1:18">
      <c r="A460" s="25" t="str">
        <f>E460&amp;"_"&amp;COUNTIF(E$3:$E460,E460)&amp;"_"&amp;F460</f>
        <v>35_40_Ossature_contreventement_ext</v>
      </c>
      <c r="B460" s="23"/>
      <c r="C460" s="23" t="s">
        <v>178</v>
      </c>
      <c r="D460" s="23" t="s">
        <v>129</v>
      </c>
      <c r="E460" s="23">
        <v>35</v>
      </c>
      <c r="F460" s="23" t="s">
        <v>39</v>
      </c>
      <c r="G460" s="23" t="s">
        <v>130</v>
      </c>
      <c r="H460" s="23"/>
      <c r="I460" s="23" t="s">
        <v>67</v>
      </c>
      <c r="J460" s="23" t="s">
        <v>131</v>
      </c>
      <c r="K460" s="23" t="s">
        <v>132</v>
      </c>
      <c r="L460" s="23" t="s">
        <v>139</v>
      </c>
      <c r="M460" s="23" t="s">
        <v>137</v>
      </c>
      <c r="N460" s="23" t="s">
        <v>175</v>
      </c>
      <c r="O460" s="23"/>
      <c r="P460" s="23" t="s">
        <v>135</v>
      </c>
      <c r="Q460" s="23"/>
      <c r="R460" s="23" t="s">
        <v>67</v>
      </c>
    </row>
    <row r="461" spans="1:18">
      <c r="A461" s="25" t="str">
        <f>E461&amp;"_"&amp;COUNTIF(E$3:$E461,E461)&amp;"_"&amp;F461</f>
        <v>36_52_Ossature_contreventement_ext</v>
      </c>
      <c r="B461" s="23"/>
      <c r="C461" s="23" t="s">
        <v>179</v>
      </c>
      <c r="D461" s="23" t="s">
        <v>129</v>
      </c>
      <c r="E461" s="23">
        <v>36</v>
      </c>
      <c r="F461" s="23" t="s">
        <v>39</v>
      </c>
      <c r="G461" s="23" t="s">
        <v>130</v>
      </c>
      <c r="H461" s="23"/>
      <c r="I461" s="23" t="s">
        <v>67</v>
      </c>
      <c r="J461" s="23" t="s">
        <v>131</v>
      </c>
      <c r="K461" s="23" t="s">
        <v>132</v>
      </c>
      <c r="L461" s="23" t="s">
        <v>180</v>
      </c>
      <c r="M461" s="23" t="s">
        <v>137</v>
      </c>
      <c r="N461" s="23" t="s">
        <v>181</v>
      </c>
      <c r="O461" s="23"/>
      <c r="P461" s="23" t="s">
        <v>135</v>
      </c>
      <c r="Q461" s="23"/>
      <c r="R461" s="23" t="s">
        <v>67</v>
      </c>
    </row>
    <row r="462" spans="1:18">
      <c r="A462" s="25" t="str">
        <f>E462&amp;"_"&amp;COUNTIF(E$3:$E462,E462)&amp;"_"&amp;F462</f>
        <v>36_53_Ossature_contreventement_ext</v>
      </c>
      <c r="B462" s="23"/>
      <c r="C462" s="23" t="s">
        <v>182</v>
      </c>
      <c r="D462" s="23" t="s">
        <v>129</v>
      </c>
      <c r="E462" s="23">
        <v>36</v>
      </c>
      <c r="F462" s="23" t="s">
        <v>39</v>
      </c>
      <c r="G462" s="23" t="s">
        <v>130</v>
      </c>
      <c r="H462" s="23"/>
      <c r="I462" s="23" t="s">
        <v>67</v>
      </c>
      <c r="J462" s="23" t="s">
        <v>131</v>
      </c>
      <c r="K462" s="23" t="s">
        <v>132</v>
      </c>
      <c r="L462" s="23" t="s">
        <v>139</v>
      </c>
      <c r="M462" s="23" t="s">
        <v>183</v>
      </c>
      <c r="N462" s="23" t="s">
        <v>184</v>
      </c>
      <c r="O462" s="23"/>
      <c r="P462" s="23" t="s">
        <v>135</v>
      </c>
      <c r="Q462" s="23"/>
      <c r="R462" s="23" t="s">
        <v>67</v>
      </c>
    </row>
    <row r="463" spans="1:18">
      <c r="A463" s="25" t="str">
        <f>E463&amp;"_"&amp;COUNTIF(E$3:$E463,E463)&amp;"_"&amp;F463</f>
        <v>37_51_Ossature_contreventement_ext</v>
      </c>
      <c r="B463" s="23"/>
      <c r="C463" s="23" t="s">
        <v>185</v>
      </c>
      <c r="D463" s="23" t="s">
        <v>129</v>
      </c>
      <c r="E463" s="23">
        <v>37</v>
      </c>
      <c r="F463" s="23" t="s">
        <v>39</v>
      </c>
      <c r="G463" s="23" t="s">
        <v>130</v>
      </c>
      <c r="H463" s="23"/>
      <c r="I463" s="23" t="s">
        <v>67</v>
      </c>
      <c r="J463" s="23" t="s">
        <v>131</v>
      </c>
      <c r="K463" s="23" t="s">
        <v>132</v>
      </c>
      <c r="L463" s="23" t="s">
        <v>139</v>
      </c>
      <c r="M463" s="23" t="s">
        <v>186</v>
      </c>
      <c r="N463" s="23" t="s">
        <v>187</v>
      </c>
      <c r="O463" s="23"/>
      <c r="P463" s="23" t="s">
        <v>135</v>
      </c>
      <c r="Q463" s="23"/>
      <c r="R463" s="23" t="s">
        <v>67</v>
      </c>
    </row>
    <row r="464" spans="1:18">
      <c r="A464" s="25" t="str">
        <f>E464&amp;"_"&amp;COUNTIF(E$3:$E464,E464)&amp;"_"&amp;F464</f>
        <v>51_1_Ossature_contreventement_ext</v>
      </c>
      <c r="B464" s="23"/>
      <c r="C464" s="23" t="s">
        <v>188</v>
      </c>
      <c r="D464" s="23" t="s">
        <v>129</v>
      </c>
      <c r="E464" s="23">
        <v>51</v>
      </c>
      <c r="F464" s="23" t="s">
        <v>39</v>
      </c>
      <c r="G464" s="23" t="s">
        <v>130</v>
      </c>
      <c r="H464" s="23"/>
      <c r="I464" s="23" t="s">
        <v>67</v>
      </c>
      <c r="J464" s="23" t="s">
        <v>131</v>
      </c>
      <c r="K464" s="23" t="s">
        <v>132</v>
      </c>
      <c r="L464" s="23" t="s">
        <v>189</v>
      </c>
      <c r="M464" s="23" t="s">
        <v>183</v>
      </c>
      <c r="N464" s="23" t="s">
        <v>187</v>
      </c>
      <c r="O464" s="23"/>
      <c r="P464" s="23" t="s">
        <v>135</v>
      </c>
      <c r="Q464" s="23"/>
      <c r="R464" s="23" t="s">
        <v>67</v>
      </c>
    </row>
    <row r="465" spans="1:18">
      <c r="A465" s="25" t="str">
        <f>E465&amp;"_"&amp;COUNTIF(E$3:$E465,E465)&amp;"_"&amp;F465</f>
        <v>52_6_Ossature_contreventement_ext</v>
      </c>
      <c r="B465" s="23"/>
      <c r="C465" s="23" t="s">
        <v>190</v>
      </c>
      <c r="D465" s="23" t="s">
        <v>129</v>
      </c>
      <c r="E465" s="23">
        <v>52</v>
      </c>
      <c r="F465" s="23" t="s">
        <v>39</v>
      </c>
      <c r="G465" s="23" t="s">
        <v>130</v>
      </c>
      <c r="H465" s="23"/>
      <c r="I465" s="23" t="s">
        <v>67</v>
      </c>
      <c r="J465" s="23" t="s">
        <v>131</v>
      </c>
      <c r="K465" s="23" t="s">
        <v>132</v>
      </c>
      <c r="L465" s="23" t="s">
        <v>191</v>
      </c>
      <c r="M465" s="23" t="s">
        <v>183</v>
      </c>
      <c r="N465" s="23" t="s">
        <v>187</v>
      </c>
      <c r="O465" s="23"/>
      <c r="P465" s="23" t="s">
        <v>135</v>
      </c>
      <c r="Q465" s="23"/>
      <c r="R465" s="23" t="s">
        <v>67</v>
      </c>
    </row>
    <row r="466" spans="1:18">
      <c r="A466" s="25" t="str">
        <f>E466&amp;"_"&amp;COUNTIF(E$3:$E466,E466)&amp;"_"&amp;F466</f>
        <v>53_5_Ossature_contreventement_ext</v>
      </c>
      <c r="B466" s="23"/>
      <c r="C466" s="23" t="s">
        <v>192</v>
      </c>
      <c r="D466" s="23" t="s">
        <v>129</v>
      </c>
      <c r="E466" s="23">
        <v>53</v>
      </c>
      <c r="F466" s="23" t="s">
        <v>39</v>
      </c>
      <c r="G466" s="23" t="s">
        <v>130</v>
      </c>
      <c r="H466" s="23"/>
      <c r="I466" s="23" t="s">
        <v>67</v>
      </c>
      <c r="J466" s="23" t="s">
        <v>131</v>
      </c>
      <c r="K466" s="23" t="s">
        <v>193</v>
      </c>
      <c r="L466" s="23" t="s">
        <v>191</v>
      </c>
      <c r="M466" s="23" t="s">
        <v>183</v>
      </c>
      <c r="N466" s="23" t="s">
        <v>194</v>
      </c>
      <c r="O466" s="23"/>
      <c r="P466" s="23" t="s">
        <v>135</v>
      </c>
      <c r="Q466" s="23"/>
      <c r="R466" s="23" t="s">
        <v>67</v>
      </c>
    </row>
    <row r="467" spans="1:18">
      <c r="A467" s="25" t="str">
        <f>E467&amp;"_"&amp;COUNTIF(E$3:$E467,E467)&amp;"_"&amp;F467</f>
        <v>37_52_Ossature_contreventement_ext</v>
      </c>
      <c r="B467" s="23"/>
      <c r="C467" s="23" t="s">
        <v>195</v>
      </c>
      <c r="D467" s="23" t="s">
        <v>129</v>
      </c>
      <c r="E467" s="23">
        <v>37</v>
      </c>
      <c r="F467" s="23" t="s">
        <v>39</v>
      </c>
      <c r="G467" s="23" t="s">
        <v>130</v>
      </c>
      <c r="H467" s="23"/>
      <c r="I467" s="23" t="s">
        <v>67</v>
      </c>
      <c r="J467" s="23" t="s">
        <v>131</v>
      </c>
      <c r="K467" s="23" t="s">
        <v>132</v>
      </c>
      <c r="L467" s="23" t="s">
        <v>196</v>
      </c>
      <c r="M467" s="23" t="s">
        <v>137</v>
      </c>
      <c r="N467" s="23" t="s">
        <v>181</v>
      </c>
      <c r="O467" s="23"/>
      <c r="P467" s="23" t="s">
        <v>135</v>
      </c>
      <c r="Q467" s="23"/>
      <c r="R467" s="23" t="s">
        <v>67</v>
      </c>
    </row>
    <row r="468" spans="1:18">
      <c r="A468" s="25" t="str">
        <f>E468&amp;"_"&amp;COUNTIF(E$3:$E468,E468)&amp;"_"&amp;F468</f>
        <v>32_5_Ossature_contreventement_ext</v>
      </c>
      <c r="B468" s="23"/>
      <c r="C468" s="23" t="s">
        <v>197</v>
      </c>
      <c r="D468" s="23" t="s">
        <v>129</v>
      </c>
      <c r="E468" s="23">
        <v>32</v>
      </c>
      <c r="F468" s="23" t="s">
        <v>39</v>
      </c>
      <c r="G468" s="23" t="s">
        <v>198</v>
      </c>
      <c r="H468" s="23"/>
      <c r="I468" s="23"/>
      <c r="J468" s="23" t="s">
        <v>131</v>
      </c>
      <c r="K468" s="23" t="s">
        <v>132</v>
      </c>
      <c r="L468" s="23" t="s">
        <v>199</v>
      </c>
      <c r="M468" s="23" t="s">
        <v>168</v>
      </c>
      <c r="N468" s="23" t="s">
        <v>200</v>
      </c>
      <c r="O468" s="23"/>
      <c r="P468" s="23" t="s">
        <v>141</v>
      </c>
      <c r="Q468" s="23"/>
      <c r="R468" s="23" t="s">
        <v>67</v>
      </c>
    </row>
    <row r="469" spans="1:18">
      <c r="A469" s="25" t="str">
        <f>E469&amp;"_"&amp;COUNTIF(E$3:$E469,E469)&amp;"_"&amp;F469</f>
        <v>34_25_Ossature_contreventement_ext</v>
      </c>
      <c r="B469" s="23"/>
      <c r="C469" s="23" t="s">
        <v>201</v>
      </c>
      <c r="D469" s="23" t="s">
        <v>129</v>
      </c>
      <c r="E469" s="23">
        <v>34</v>
      </c>
      <c r="F469" s="23" t="s">
        <v>39</v>
      </c>
      <c r="G469" s="23" t="s">
        <v>198</v>
      </c>
      <c r="H469" s="23"/>
      <c r="I469" s="23"/>
      <c r="J469" s="23" t="s">
        <v>131</v>
      </c>
      <c r="K469" s="23" t="s">
        <v>132</v>
      </c>
      <c r="L469" s="23" t="s">
        <v>199</v>
      </c>
      <c r="M469" s="23" t="s">
        <v>168</v>
      </c>
      <c r="N469" s="23" t="s">
        <v>200</v>
      </c>
      <c r="O469" s="23"/>
      <c r="P469" s="23" t="s">
        <v>135</v>
      </c>
      <c r="Q469" s="23"/>
      <c r="R469" s="23" t="s">
        <v>67</v>
      </c>
    </row>
    <row r="470" spans="1:18">
      <c r="A470" s="25" t="str">
        <f>E470&amp;"_"&amp;COUNTIF(E$3:$E470,E470)&amp;"_"&amp;F470</f>
        <v>39_36_Ossature_contreventement_ext</v>
      </c>
      <c r="B470" s="23"/>
      <c r="C470" s="23" t="s">
        <v>202</v>
      </c>
      <c r="D470" s="23" t="s">
        <v>129</v>
      </c>
      <c r="E470" s="23">
        <v>39</v>
      </c>
      <c r="F470" s="23" t="s">
        <v>39</v>
      </c>
      <c r="G470" s="23" t="s">
        <v>198</v>
      </c>
      <c r="H470" s="23"/>
      <c r="I470" s="23"/>
      <c r="J470" s="23" t="s">
        <v>131</v>
      </c>
      <c r="K470" s="23" t="s">
        <v>132</v>
      </c>
      <c r="L470" s="23" t="s">
        <v>203</v>
      </c>
      <c r="M470" s="23" t="s">
        <v>168</v>
      </c>
      <c r="N470" s="23" t="s">
        <v>200</v>
      </c>
      <c r="O470" s="23"/>
      <c r="P470" s="23" t="s">
        <v>204</v>
      </c>
      <c r="Q470" s="23"/>
      <c r="R470" s="23" t="s">
        <v>67</v>
      </c>
    </row>
    <row r="471" spans="1:18">
      <c r="A471" s="25" t="str">
        <f>E471&amp;"_"&amp;COUNTIF(E$3:$E471,E471)&amp;"_"&amp;F471</f>
        <v>40_26_Ossature_contreventement_ext</v>
      </c>
      <c r="B471" s="23"/>
      <c r="C471" s="23" t="s">
        <v>205</v>
      </c>
      <c r="D471" s="23" t="s">
        <v>129</v>
      </c>
      <c r="E471" s="23">
        <v>40</v>
      </c>
      <c r="F471" s="23" t="s">
        <v>39</v>
      </c>
      <c r="G471" s="23" t="s">
        <v>198</v>
      </c>
      <c r="H471" s="23"/>
      <c r="I471" s="23"/>
      <c r="J471" s="23" t="s">
        <v>131</v>
      </c>
      <c r="K471" s="23" t="s">
        <v>132</v>
      </c>
      <c r="L471" s="23" t="s">
        <v>203</v>
      </c>
      <c r="M471" s="23" t="s">
        <v>168</v>
      </c>
      <c r="N471" s="23" t="s">
        <v>200</v>
      </c>
      <c r="O471" s="23"/>
      <c r="P471" s="23" t="s">
        <v>206</v>
      </c>
      <c r="Q471" s="23"/>
      <c r="R471" s="23"/>
    </row>
    <row r="472" spans="1:18">
      <c r="A472" s="25" t="str">
        <f>E472&amp;"_"&amp;COUNTIF(E$3:$E472,E472)&amp;"_"&amp;F472</f>
        <v>36_54_Panneaux_massifs_contrecollés</v>
      </c>
      <c r="B472" s="23"/>
      <c r="C472" s="23" t="s">
        <v>207</v>
      </c>
      <c r="D472" s="23" t="s">
        <v>129</v>
      </c>
      <c r="E472" s="23">
        <v>36</v>
      </c>
      <c r="F472" s="23" t="s">
        <v>66</v>
      </c>
      <c r="G472" s="23" t="s">
        <v>130</v>
      </c>
      <c r="H472" s="23" t="s">
        <v>208</v>
      </c>
      <c r="I472" s="23" t="s">
        <v>67</v>
      </c>
      <c r="J472" s="23"/>
      <c r="K472" s="23" t="s">
        <v>209</v>
      </c>
      <c r="L472" s="23" t="s">
        <v>210</v>
      </c>
      <c r="M472" s="23" t="s">
        <v>211</v>
      </c>
      <c r="N472" s="23"/>
      <c r="O472" s="23"/>
      <c r="P472" s="23"/>
      <c r="Q472" s="23"/>
      <c r="R472" s="23" t="s">
        <v>212</v>
      </c>
    </row>
    <row r="473" spans="1:18">
      <c r="A473" s="25" t="str">
        <f>E473&amp;"_"&amp;COUNTIF(E$3:$E473,E473)&amp;"_"&amp;F473</f>
        <v>34_26_Panneaux_massifs_contrecollés</v>
      </c>
      <c r="B473" s="23"/>
      <c r="C473" s="23" t="s">
        <v>213</v>
      </c>
      <c r="D473" s="23" t="s">
        <v>129</v>
      </c>
      <c r="E473" s="23">
        <v>34</v>
      </c>
      <c r="F473" s="23" t="s">
        <v>66</v>
      </c>
      <c r="G473" s="23" t="s">
        <v>130</v>
      </c>
      <c r="H473" s="23" t="s">
        <v>208</v>
      </c>
      <c r="I473" s="23" t="s">
        <v>67</v>
      </c>
      <c r="J473" s="23"/>
      <c r="K473" s="23" t="s">
        <v>209</v>
      </c>
      <c r="L473" s="23" t="s">
        <v>214</v>
      </c>
      <c r="M473" s="23" t="s">
        <v>211</v>
      </c>
      <c r="N473" s="23"/>
      <c r="O473" s="23"/>
      <c r="P473" s="23"/>
      <c r="Q473" s="23"/>
      <c r="R473" s="23"/>
    </row>
    <row r="474" spans="1:18">
      <c r="A474" s="25" t="str">
        <f>E474&amp;"_"&amp;COUNTIF(E$3:$E474,E474)&amp;"_"&amp;F474</f>
        <v>39_37_Panneaux_massifs_contrecollés</v>
      </c>
      <c r="B474" s="23"/>
      <c r="C474" s="23" t="s">
        <v>215</v>
      </c>
      <c r="D474" s="23" t="s">
        <v>129</v>
      </c>
      <c r="E474" s="23">
        <v>39</v>
      </c>
      <c r="F474" s="23" t="s">
        <v>66</v>
      </c>
      <c r="G474" s="23" t="s">
        <v>130</v>
      </c>
      <c r="H474" s="23" t="s">
        <v>208</v>
      </c>
      <c r="I474" s="23" t="s">
        <v>67</v>
      </c>
      <c r="J474" s="23"/>
      <c r="K474" s="23" t="s">
        <v>209</v>
      </c>
      <c r="L474" s="23" t="s">
        <v>216</v>
      </c>
      <c r="M474" s="23" t="s">
        <v>211</v>
      </c>
      <c r="N474" s="23" t="s">
        <v>217</v>
      </c>
      <c r="O474" s="23"/>
      <c r="P474" s="23" t="s">
        <v>141</v>
      </c>
      <c r="Q474" s="23"/>
      <c r="R474" s="23" t="s">
        <v>212</v>
      </c>
    </row>
    <row r="475" spans="1:18">
      <c r="A475" s="25" t="str">
        <f>E475&amp;"_"&amp;COUNTIF(E$3:$E475,E475)&amp;"_"&amp;F475</f>
        <v>43_11_Panneaux_massifs_contrecollés</v>
      </c>
      <c r="B475" s="23"/>
      <c r="C475" s="23" t="s">
        <v>218</v>
      </c>
      <c r="D475" s="23" t="s">
        <v>129</v>
      </c>
      <c r="E475" s="23">
        <v>43</v>
      </c>
      <c r="F475" s="23" t="s">
        <v>66</v>
      </c>
      <c r="G475" s="23" t="s">
        <v>130</v>
      </c>
      <c r="H475" s="23" t="s">
        <v>208</v>
      </c>
      <c r="I475" s="23" t="s">
        <v>67</v>
      </c>
      <c r="J475" s="23"/>
      <c r="K475" s="23" t="s">
        <v>209</v>
      </c>
      <c r="L475" s="23" t="s">
        <v>216</v>
      </c>
      <c r="M475" s="23" t="s">
        <v>211</v>
      </c>
      <c r="N475" s="23" t="s">
        <v>217</v>
      </c>
      <c r="O475" s="23"/>
      <c r="P475" s="23" t="s">
        <v>204</v>
      </c>
      <c r="Q475" s="23"/>
      <c r="R475" s="23" t="s">
        <v>212</v>
      </c>
    </row>
    <row r="476" spans="1:18">
      <c r="A476"/>
      <c r="B476"/>
      <c r="C476"/>
    </row>
    <row r="477" spans="1:18">
      <c r="A477"/>
      <c r="B477"/>
      <c r="C477"/>
    </row>
    <row r="478" spans="1:18">
      <c r="A478"/>
      <c r="B478"/>
      <c r="C478"/>
    </row>
    <row r="479" spans="1:18">
      <c r="A479"/>
      <c r="B479"/>
      <c r="C479"/>
    </row>
    <row r="480" spans="1:18">
      <c r="A480"/>
      <c r="B480"/>
      <c r="C480"/>
    </row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</sheetData>
  <mergeCells count="1">
    <mergeCell ref="E1:R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C3614-91B0-422A-BD61-197B4774543D}">
  <sheetPr codeName="Feuil1"/>
  <dimension ref="A1:AW1216"/>
  <sheetViews>
    <sheetView tabSelected="1" zoomScale="40" zoomScaleNormal="40" workbookViewId="0">
      <selection activeCell="D8" sqref="D8"/>
    </sheetView>
  </sheetViews>
  <sheetFormatPr baseColWidth="10" defaultRowHeight="14.5"/>
  <cols>
    <col min="1" max="1" width="41.08984375" customWidth="1"/>
    <col min="2" max="2" width="9.453125" style="12" customWidth="1"/>
    <col min="3" max="3" width="18.453125" style="31" customWidth="1"/>
    <col min="4" max="4" width="9.81640625" style="31" customWidth="1"/>
    <col min="5" max="5" width="17.08984375" style="31" customWidth="1"/>
    <col min="6" max="6" width="30.7265625" style="31" customWidth="1"/>
    <col min="7" max="7" width="21.81640625" style="31" customWidth="1"/>
    <col min="8" max="8" width="34.08984375" style="31" customWidth="1"/>
    <col min="9" max="9" width="21.26953125" style="31" customWidth="1"/>
    <col min="10" max="10" width="26.36328125" style="31" customWidth="1"/>
    <col min="11" max="11" width="25.08984375" style="31" customWidth="1"/>
    <col min="12" max="12" width="31.81640625" style="31" customWidth="1"/>
    <col min="13" max="13" width="30.1796875" style="31" customWidth="1"/>
    <col min="14" max="14" width="22.90625" style="31" customWidth="1"/>
    <col min="15" max="15" width="11.81640625" style="31" customWidth="1"/>
    <col min="16" max="16" width="24.54296875" style="31" customWidth="1"/>
    <col min="17" max="17" width="18.7265625" style="31" customWidth="1"/>
    <col min="18" max="18" width="16" style="31" customWidth="1"/>
    <col min="19" max="19" width="27.08984375" style="31" customWidth="1"/>
    <col min="20" max="20" width="39.81640625" style="47" hidden="1" customWidth="1"/>
  </cols>
  <sheetData>
    <row r="1" spans="1:49" ht="20.5" customHeight="1">
      <c r="A1" s="50"/>
      <c r="B1" s="1"/>
      <c r="C1" s="54" t="s">
        <v>127</v>
      </c>
      <c r="D1" s="55"/>
      <c r="E1" s="55"/>
      <c r="F1" s="55"/>
      <c r="G1" s="55"/>
      <c r="H1" s="55"/>
      <c r="I1" s="55"/>
      <c r="J1" s="35"/>
      <c r="K1" s="35"/>
      <c r="L1" s="35"/>
      <c r="M1" s="27"/>
      <c r="N1" s="27"/>
      <c r="O1" s="27"/>
      <c r="P1" s="37"/>
      <c r="Q1" s="37"/>
      <c r="R1" s="27"/>
      <c r="S1" s="27"/>
      <c r="T1" s="30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</row>
    <row r="2" spans="1:49" ht="19.5" customHeight="1">
      <c r="A2" s="50"/>
      <c r="B2" s="1"/>
      <c r="C2" s="54"/>
      <c r="D2" s="55"/>
      <c r="E2" s="55"/>
      <c r="F2" s="55"/>
      <c r="G2" s="55"/>
      <c r="H2" s="55"/>
      <c r="I2" s="55"/>
      <c r="J2" s="35"/>
      <c r="K2" s="35"/>
      <c r="L2" s="35"/>
      <c r="M2" s="27"/>
      <c r="N2" s="27"/>
      <c r="O2" s="27"/>
      <c r="P2" s="37"/>
      <c r="Q2" s="37"/>
      <c r="R2" s="27"/>
      <c r="S2" s="27"/>
      <c r="T2" s="30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</row>
    <row r="3" spans="1:49" ht="57" customHeight="1">
      <c r="A3" s="50"/>
      <c r="B3" s="1"/>
      <c r="C3" s="27"/>
      <c r="D3" s="27"/>
      <c r="E3" s="27"/>
      <c r="F3" s="27"/>
      <c r="G3" s="27"/>
      <c r="H3" s="35"/>
      <c r="I3" s="30"/>
      <c r="J3" s="30"/>
      <c r="K3" s="30"/>
      <c r="L3" s="30"/>
      <c r="M3" s="27"/>
      <c r="N3" s="27"/>
      <c r="O3" s="27"/>
      <c r="P3" s="51" t="s">
        <v>22</v>
      </c>
      <c r="Q3" s="51"/>
      <c r="R3" s="27"/>
      <c r="S3" s="27"/>
      <c r="T3" s="30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ht="60.5" customHeight="1">
      <c r="A4" s="5"/>
      <c r="B4" s="52"/>
      <c r="C4" s="53"/>
      <c r="D4" s="53"/>
      <c r="E4" s="53"/>
      <c r="F4" s="53"/>
      <c r="G4" s="53"/>
      <c r="H4" s="53"/>
      <c r="I4" s="53"/>
      <c r="J4" s="53"/>
      <c r="K4" s="30"/>
      <c r="L4" s="30"/>
      <c r="M4" s="27"/>
      <c r="N4" s="27"/>
      <c r="O4" s="27"/>
      <c r="P4" s="38" t="s">
        <v>2</v>
      </c>
      <c r="Q4" s="39" t="s">
        <v>1</v>
      </c>
      <c r="R4" s="27"/>
      <c r="S4" s="27"/>
      <c r="T4" s="30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</row>
    <row r="5" spans="1:49">
      <c r="A5" s="5"/>
      <c r="B5" s="1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40"/>
      <c r="Q5" s="41"/>
      <c r="R5" s="42">
        <f>Q5+1</f>
        <v>1</v>
      </c>
      <c r="S5" s="42">
        <f>Q5+2</f>
        <v>2</v>
      </c>
      <c r="T5" s="43">
        <f>Q5+3</f>
        <v>3</v>
      </c>
      <c r="U5" s="9">
        <f>Q5+4</f>
        <v>4</v>
      </c>
      <c r="V5" s="9">
        <f>Q5+5</f>
        <v>5</v>
      </c>
      <c r="W5" s="8">
        <f>Q5+6</f>
        <v>6</v>
      </c>
      <c r="X5" s="9">
        <f>Q5+7</f>
        <v>7</v>
      </c>
      <c r="Y5" s="8">
        <f>Q5+8</f>
        <v>8</v>
      </c>
      <c r="Z5" s="9">
        <f>Q5+8</f>
        <v>8</v>
      </c>
      <c r="AA5" s="8">
        <f>Q5+9</f>
        <v>9</v>
      </c>
      <c r="AB5" s="9">
        <f>Q5+10</f>
        <v>10</v>
      </c>
      <c r="AC5" s="8">
        <f>Q5+11</f>
        <v>11</v>
      </c>
      <c r="AD5" s="9">
        <f>Q5+12</f>
        <v>12</v>
      </c>
      <c r="AE5" s="8">
        <f>Q5+13</f>
        <v>13</v>
      </c>
      <c r="AF5" s="9">
        <f>Q5+14</f>
        <v>14</v>
      </c>
      <c r="AG5" s="8">
        <f>Q5+15</f>
        <v>15</v>
      </c>
      <c r="AH5" s="9">
        <f>Q5+16</f>
        <v>16</v>
      </c>
      <c r="AI5" s="8">
        <f>Q5+17</f>
        <v>17</v>
      </c>
      <c r="AJ5" s="9">
        <f>Q5+18</f>
        <v>18</v>
      </c>
      <c r="AK5" s="8">
        <f>Q5+19</f>
        <v>19</v>
      </c>
      <c r="AL5" s="9">
        <f>Q5+20</f>
        <v>20</v>
      </c>
      <c r="AM5" s="9">
        <f>Q5+21</f>
        <v>21</v>
      </c>
      <c r="AN5" s="9">
        <f>Q5+22</f>
        <v>22</v>
      </c>
      <c r="AO5" s="9">
        <f>Q5+23</f>
        <v>23</v>
      </c>
      <c r="AP5" s="9">
        <f>Q5+24</f>
        <v>24</v>
      </c>
      <c r="AQ5" s="9">
        <f>R5+25</f>
        <v>26</v>
      </c>
      <c r="AR5" s="9">
        <f>R5+26</f>
        <v>27</v>
      </c>
      <c r="AS5" s="9">
        <f>R5+27</f>
        <v>28</v>
      </c>
      <c r="AT5" s="9">
        <f>R5+28</f>
        <v>29</v>
      </c>
      <c r="AU5" s="9">
        <f>R5+29</f>
        <v>30</v>
      </c>
      <c r="AV5" s="9">
        <f>R5+30</f>
        <v>31</v>
      </c>
      <c r="AW5" s="5"/>
    </row>
    <row r="6" spans="1:49" ht="12" customHeight="1">
      <c r="A6" s="5"/>
      <c r="B6" s="1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30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</row>
    <row r="7" spans="1:49" hidden="1">
      <c r="A7" s="5"/>
      <c r="B7" s="1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30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</row>
    <row r="8" spans="1:49" s="4" customFormat="1" ht="41" customHeight="1">
      <c r="A8" s="7"/>
      <c r="B8" s="15" t="s">
        <v>21</v>
      </c>
      <c r="C8" s="28" t="s">
        <v>0</v>
      </c>
      <c r="D8" s="28" t="s">
        <v>219</v>
      </c>
      <c r="E8" s="32" t="s">
        <v>2</v>
      </c>
      <c r="F8" s="34" t="s">
        <v>4</v>
      </c>
      <c r="G8" s="34" t="s">
        <v>30</v>
      </c>
      <c r="H8" s="36" t="s">
        <v>31</v>
      </c>
      <c r="I8" s="34" t="s">
        <v>32</v>
      </c>
      <c r="J8" s="34" t="s">
        <v>33</v>
      </c>
      <c r="K8" s="34" t="s">
        <v>34</v>
      </c>
      <c r="L8" s="34" t="s">
        <v>3</v>
      </c>
      <c r="M8" s="34" t="s">
        <v>6</v>
      </c>
      <c r="N8" s="34" t="s">
        <v>35</v>
      </c>
      <c r="O8" s="34" t="s">
        <v>36</v>
      </c>
      <c r="P8" s="34" t="s">
        <v>37</v>
      </c>
      <c r="Q8" s="34" t="s">
        <v>38</v>
      </c>
      <c r="R8" s="44" t="s">
        <v>5</v>
      </c>
      <c r="S8" s="32" t="s">
        <v>6</v>
      </c>
      <c r="T8" s="45" t="s">
        <v>28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</row>
    <row r="9" spans="1:49" ht="60" customHeight="1">
      <c r="A9" s="13"/>
      <c r="B9" s="10"/>
      <c r="C9" s="29"/>
      <c r="D9" s="29"/>
      <c r="E9" s="29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29"/>
      <c r="S9" s="29"/>
      <c r="T9" s="46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</row>
    <row r="10" spans="1:49" ht="60" customHeight="1">
      <c r="A10" s="13"/>
      <c r="B10" s="10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46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</row>
    <row r="11" spans="1:49" ht="60" customHeight="1">
      <c r="A11" s="13"/>
      <c r="B11" s="10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46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</row>
    <row r="12" spans="1:49" ht="60" customHeight="1">
      <c r="A12" s="14"/>
      <c r="B12" s="11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46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</row>
    <row r="13" spans="1:49" ht="60" customHeight="1">
      <c r="A13" s="13"/>
      <c r="B13" s="10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46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</row>
    <row r="14" spans="1:49" ht="60" customHeight="1">
      <c r="A14" s="14"/>
      <c r="B14" s="11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46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</row>
    <row r="15" spans="1:49" ht="60" customHeight="1">
      <c r="A15" s="13"/>
      <c r="B15" s="10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46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</row>
    <row r="16" spans="1:49" ht="60" customHeight="1">
      <c r="A16" s="14"/>
      <c r="B16" s="11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46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</row>
    <row r="17" spans="1:49" ht="60" customHeight="1">
      <c r="A17" s="13"/>
      <c r="B17" s="10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46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</row>
    <row r="18" spans="1:49" ht="60" customHeight="1">
      <c r="A18" s="14"/>
      <c r="B18" s="11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46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</row>
    <row r="19" spans="1:49" ht="60" customHeight="1">
      <c r="A19" s="13"/>
      <c r="B19" s="10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46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</row>
    <row r="20" spans="1:49" ht="60" customHeight="1">
      <c r="A20" s="14"/>
      <c r="B20" s="11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46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</row>
    <row r="21" spans="1:49" ht="60" customHeight="1">
      <c r="A21" s="13"/>
      <c r="B21" s="10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46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</row>
    <row r="22" spans="1:49" ht="60" customHeight="1">
      <c r="A22" s="14"/>
      <c r="B22" s="11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46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</row>
    <row r="23" spans="1:49" ht="60" customHeight="1">
      <c r="A23" s="13"/>
      <c r="B23" s="10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46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</row>
    <row r="24" spans="1:49" ht="60" customHeight="1">
      <c r="A24" s="14"/>
      <c r="B24" s="11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46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60" customHeight="1">
      <c r="A25" s="13"/>
      <c r="B25" s="10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46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</row>
    <row r="26" spans="1:49" ht="60" customHeight="1">
      <c r="A26" s="14"/>
      <c r="B26" s="11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46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</row>
    <row r="27" spans="1:49" ht="60" customHeight="1">
      <c r="A27" s="13"/>
      <c r="B27" s="10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46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</row>
    <row r="28" spans="1:49" ht="60" customHeight="1">
      <c r="A28" s="14"/>
      <c r="B28" s="11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46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</row>
    <row r="29" spans="1:49" ht="60" customHeight="1">
      <c r="A29" s="13"/>
      <c r="B29" s="10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46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</row>
    <row r="30" spans="1:49" ht="60" customHeight="1">
      <c r="A30" s="14"/>
      <c r="B30" s="11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46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</row>
    <row r="31" spans="1:49" ht="60" customHeight="1">
      <c r="A31" s="13"/>
      <c r="B31" s="10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46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</row>
    <row r="32" spans="1:49" ht="60" customHeight="1">
      <c r="A32" s="14"/>
      <c r="B32" s="11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46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</row>
    <row r="33" spans="1:49" ht="60" customHeight="1">
      <c r="A33" s="13"/>
      <c r="B33" s="10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46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</row>
    <row r="34" spans="1:49" ht="60" customHeight="1">
      <c r="A34" s="14"/>
      <c r="B34" s="11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46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</row>
    <row r="35" spans="1:49" ht="60" customHeight="1">
      <c r="A35" s="13"/>
      <c r="B35" s="10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46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</row>
    <row r="36" spans="1:49" ht="60" customHeight="1">
      <c r="A36" s="14"/>
      <c r="B36" s="11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46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</row>
    <row r="37" spans="1:49" ht="60" customHeight="1">
      <c r="A37" s="13"/>
      <c r="B37" s="10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46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</row>
    <row r="38" spans="1:49" ht="60" customHeight="1">
      <c r="A38" s="14"/>
      <c r="B38" s="11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46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</row>
    <row r="39" spans="1:49" ht="60" customHeight="1">
      <c r="A39" s="13"/>
      <c r="B39" s="10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46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</row>
    <row r="40" spans="1:49" ht="60" customHeight="1">
      <c r="A40" s="14"/>
      <c r="B40" s="11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46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</row>
    <row r="41" spans="1:49" ht="60" customHeight="1">
      <c r="A41" s="13"/>
      <c r="B41" s="10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46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</row>
    <row r="42" spans="1:49" ht="60" customHeight="1">
      <c r="A42" s="14"/>
      <c r="B42" s="11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46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</row>
    <row r="43" spans="1:49" ht="60" customHeight="1">
      <c r="A43" s="13"/>
      <c r="B43" s="10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46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</row>
    <row r="44" spans="1:49" ht="60" customHeight="1">
      <c r="A44" s="14"/>
      <c r="B44" s="11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46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</row>
    <row r="45" spans="1:49" ht="60" customHeight="1">
      <c r="A45" s="13"/>
      <c r="B45" s="10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</row>
    <row r="46" spans="1:49" ht="60" customHeight="1">
      <c r="A46" s="14"/>
      <c r="B46" s="11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46"/>
      <c r="U46" s="5" t="s">
        <v>26</v>
      </c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</row>
    <row r="47" spans="1:49" ht="60" customHeight="1">
      <c r="A47" s="13"/>
      <c r="B47" s="10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</row>
    <row r="48" spans="1:49" ht="60" customHeight="1">
      <c r="A48" s="14"/>
      <c r="B48" s="11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46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</row>
    <row r="49" spans="1:49" ht="60" customHeight="1">
      <c r="A49" s="13"/>
      <c r="B49" s="10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</row>
    <row r="50" spans="1:49" ht="60" customHeight="1">
      <c r="A50" s="14"/>
      <c r="B50" s="11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46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</row>
    <row r="51" spans="1:49" ht="60" customHeight="1">
      <c r="A51" s="13"/>
      <c r="B51" s="10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</row>
    <row r="52" spans="1:49" ht="60" customHeight="1">
      <c r="A52" s="14"/>
      <c r="B52" s="11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46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</row>
    <row r="53" spans="1:49" ht="60" customHeight="1">
      <c r="A53" s="13"/>
      <c r="B53" s="10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</row>
    <row r="54" spans="1:49" ht="60" customHeight="1">
      <c r="A54" s="14"/>
      <c r="B54" s="11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46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</row>
    <row r="55" spans="1:49" ht="60" customHeight="1">
      <c r="A55" s="13"/>
      <c r="B55" s="10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</row>
    <row r="56" spans="1:49" ht="60" customHeight="1">
      <c r="A56" s="14"/>
      <c r="B56" s="11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46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</row>
    <row r="57" spans="1:49" ht="60" customHeight="1">
      <c r="A57" s="13"/>
      <c r="B57" s="10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</row>
    <row r="58" spans="1:49" ht="60" customHeight="1">
      <c r="A58" s="14"/>
      <c r="B58" s="11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46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</row>
    <row r="59" spans="1:49" ht="60" customHeight="1">
      <c r="A59" s="13"/>
      <c r="B59" s="10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</row>
    <row r="60" spans="1:49" ht="60" customHeight="1">
      <c r="A60" s="14"/>
      <c r="B60" s="11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46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</row>
    <row r="61" spans="1:49" ht="60" customHeight="1">
      <c r="A61" s="13"/>
      <c r="B61" s="10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</row>
    <row r="62" spans="1:49" ht="60" customHeight="1">
      <c r="A62" s="14"/>
      <c r="B62" s="11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46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</row>
    <row r="63" spans="1:49" ht="60" customHeight="1">
      <c r="A63" s="13"/>
      <c r="B63" s="10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</row>
    <row r="64" spans="1:49" ht="60" customHeight="1">
      <c r="A64" s="14"/>
      <c r="B64" s="11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46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</row>
    <row r="65" spans="1:49" ht="60" customHeight="1">
      <c r="A65" s="13"/>
      <c r="B65" s="10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</row>
    <row r="66" spans="1:49" ht="60" customHeight="1">
      <c r="A66" s="14"/>
      <c r="B66" s="11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46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</row>
    <row r="67" spans="1:49" ht="60" customHeight="1">
      <c r="A67" s="13"/>
      <c r="B67" s="10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</row>
    <row r="68" spans="1:49" ht="60" customHeight="1">
      <c r="A68" s="14"/>
      <c r="B68" s="11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46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</row>
    <row r="69" spans="1:49" ht="60" customHeight="1">
      <c r="A69" s="13"/>
      <c r="B69" s="10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</row>
    <row r="70" spans="1:49" ht="60" customHeight="1">
      <c r="A70" s="14"/>
      <c r="B70" s="11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46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</row>
    <row r="71" spans="1:49" ht="60" customHeight="1">
      <c r="A71" s="13"/>
      <c r="B71" s="10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</row>
    <row r="72" spans="1:49" ht="60" customHeight="1">
      <c r="A72" s="14"/>
      <c r="B72" s="11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46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</row>
    <row r="73" spans="1:49" ht="60" customHeight="1">
      <c r="A73" s="13"/>
      <c r="B73" s="10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</row>
    <row r="74" spans="1:49" ht="60" customHeight="1">
      <c r="A74" s="14"/>
      <c r="B74" s="11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46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</row>
    <row r="75" spans="1:49" ht="60" customHeight="1">
      <c r="A75" s="13"/>
      <c r="B75" s="10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</row>
    <row r="76" spans="1:49" ht="60" customHeight="1">
      <c r="A76" s="14"/>
      <c r="B76" s="11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46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</row>
    <row r="77" spans="1:49" ht="60" customHeight="1">
      <c r="A77" s="13"/>
      <c r="B77" s="10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</row>
    <row r="78" spans="1:49" ht="60" customHeight="1">
      <c r="A78" s="14"/>
      <c r="B78" s="11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46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</row>
    <row r="79" spans="1:49" ht="60" customHeight="1">
      <c r="A79" s="13"/>
      <c r="B79" s="10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</row>
    <row r="80" spans="1:49" ht="60" customHeight="1">
      <c r="A80" s="14"/>
      <c r="B80" s="11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46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</row>
    <row r="81" spans="1:49" ht="60" customHeight="1">
      <c r="A81" s="13"/>
      <c r="B81" s="10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</row>
    <row r="82" spans="1:49" ht="60" customHeight="1">
      <c r="A82" s="14"/>
      <c r="B82" s="11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46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</row>
    <row r="83" spans="1:49" ht="60" customHeight="1">
      <c r="A83" s="13"/>
      <c r="B83" s="10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</row>
    <row r="84" spans="1:49" ht="60" customHeight="1">
      <c r="A84" s="14"/>
      <c r="B84" s="11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46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</row>
    <row r="85" spans="1:49" ht="60" customHeight="1">
      <c r="A85" s="13"/>
      <c r="B85" s="10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46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</row>
    <row r="86" spans="1:49" ht="60" customHeight="1">
      <c r="A86" s="14"/>
      <c r="B86" s="11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46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</row>
    <row r="87" spans="1:49" ht="60" customHeight="1">
      <c r="A87" s="13"/>
      <c r="B87" s="10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46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</row>
    <row r="88" spans="1:49" ht="60" customHeight="1">
      <c r="A88" s="14"/>
      <c r="B88" s="11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46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</row>
    <row r="89" spans="1:49" ht="60" customHeight="1">
      <c r="A89" s="13"/>
      <c r="B89" s="10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46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</row>
    <row r="90" spans="1:49" ht="60" customHeight="1">
      <c r="A90" s="14"/>
      <c r="B90" s="11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46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</row>
    <row r="91" spans="1:49" ht="60" customHeight="1">
      <c r="A91" s="13"/>
      <c r="B91" s="10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46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</row>
    <row r="92" spans="1:49" ht="60" customHeight="1">
      <c r="A92" s="14"/>
      <c r="B92" s="11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46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</row>
    <row r="93" spans="1:49" ht="60" customHeight="1">
      <c r="A93" s="13"/>
      <c r="B93" s="10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46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</row>
    <row r="94" spans="1:49" ht="60" customHeight="1">
      <c r="A94" s="14"/>
      <c r="B94" s="11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46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</row>
    <row r="95" spans="1:49" ht="60" customHeight="1">
      <c r="A95" s="13"/>
      <c r="B95" s="10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46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</row>
    <row r="96" spans="1:49" ht="60" customHeight="1">
      <c r="A96" s="14"/>
      <c r="B96" s="11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46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</row>
    <row r="97" spans="1:49" ht="60" customHeight="1">
      <c r="A97" s="13"/>
      <c r="B97" s="10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46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</row>
    <row r="98" spans="1:49" ht="60" customHeight="1">
      <c r="A98" s="14"/>
      <c r="B98" s="11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46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</row>
    <row r="99" spans="1:49" ht="60" customHeight="1">
      <c r="A99" s="13"/>
      <c r="B99" s="10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46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</row>
    <row r="100" spans="1:49" ht="60" customHeight="1">
      <c r="A100" s="14"/>
      <c r="B100" s="11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46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</row>
    <row r="101" spans="1:49" ht="60" customHeight="1">
      <c r="A101" s="13"/>
      <c r="B101" s="10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46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</row>
    <row r="102" spans="1:49" ht="60" customHeight="1">
      <c r="A102" s="14"/>
      <c r="B102" s="11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46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</row>
    <row r="103" spans="1:49" ht="60" customHeight="1">
      <c r="A103" s="13"/>
      <c r="B103" s="10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46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</row>
    <row r="104" spans="1:49" ht="60" customHeight="1">
      <c r="A104" s="14"/>
      <c r="B104" s="11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46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</row>
    <row r="105" spans="1:49" ht="60" customHeight="1">
      <c r="A105" s="13"/>
      <c r="B105" s="10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46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</row>
    <row r="106" spans="1:49" ht="60" customHeight="1">
      <c r="A106" s="14"/>
      <c r="B106" s="11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46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</row>
    <row r="107" spans="1:49" ht="60" customHeight="1">
      <c r="A107" s="13"/>
      <c r="B107" s="10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46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</row>
    <row r="108" spans="1:49" ht="60" customHeight="1">
      <c r="A108" s="14"/>
      <c r="B108" s="11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46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</row>
    <row r="109" spans="1:49" ht="60" customHeight="1">
      <c r="A109" s="13"/>
      <c r="B109" s="10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46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</row>
    <row r="110" spans="1:49" ht="60" customHeight="1">
      <c r="A110" s="14"/>
      <c r="B110" s="11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46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</row>
    <row r="111" spans="1:49" ht="60" customHeight="1">
      <c r="A111" s="13"/>
      <c r="B111" s="10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46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</row>
    <row r="112" spans="1:49" ht="60" customHeight="1">
      <c r="A112" s="14"/>
      <c r="B112" s="11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46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</row>
    <row r="113" spans="1:49" ht="60" customHeight="1">
      <c r="A113" s="13"/>
      <c r="B113" s="10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46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</row>
    <row r="114" spans="1:49" ht="60" customHeight="1">
      <c r="A114" s="14"/>
      <c r="B114" s="11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46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</row>
    <row r="115" spans="1:49" ht="60" customHeight="1">
      <c r="A115" s="13"/>
      <c r="B115" s="10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46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</row>
    <row r="116" spans="1:49" ht="60" customHeight="1">
      <c r="A116" s="14"/>
      <c r="B116" s="11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46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</row>
    <row r="117" spans="1:49" ht="60" customHeight="1">
      <c r="A117" s="13"/>
      <c r="B117" s="10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46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</row>
    <row r="118" spans="1:49" ht="60" customHeight="1">
      <c r="A118" s="14"/>
      <c r="B118" s="11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46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</row>
    <row r="119" spans="1:49" ht="60" customHeight="1">
      <c r="A119" s="13"/>
      <c r="B119" s="10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46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</row>
    <row r="120" spans="1:49" ht="60" customHeight="1">
      <c r="A120" s="14"/>
      <c r="B120" s="11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46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</row>
    <row r="121" spans="1:49" ht="60" customHeight="1">
      <c r="A121" s="13"/>
      <c r="B121" s="10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46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</row>
    <row r="122" spans="1:49" ht="60" customHeight="1">
      <c r="A122" s="14"/>
      <c r="B122" s="11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46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</row>
    <row r="123" spans="1:49" ht="60" customHeight="1">
      <c r="A123" s="13"/>
      <c r="B123" s="10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46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</row>
    <row r="124" spans="1:49" ht="60" customHeight="1">
      <c r="A124" s="14"/>
      <c r="B124" s="11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46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</row>
    <row r="125" spans="1:49" ht="60" customHeight="1">
      <c r="A125" s="13"/>
      <c r="B125" s="10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46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</row>
    <row r="126" spans="1:49" ht="60" customHeight="1">
      <c r="A126" s="14"/>
      <c r="B126" s="11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46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</row>
    <row r="127" spans="1:49" ht="60" customHeight="1">
      <c r="A127" s="13"/>
      <c r="B127" s="10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46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</row>
    <row r="128" spans="1:49" ht="60" customHeight="1">
      <c r="A128" s="14"/>
      <c r="B128" s="11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46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</row>
    <row r="129" spans="1:49" ht="60" customHeight="1">
      <c r="A129" s="13"/>
      <c r="B129" s="10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46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</row>
    <row r="130" spans="1:49" ht="60" customHeight="1">
      <c r="A130" s="14"/>
      <c r="B130" s="11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46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</row>
    <row r="131" spans="1:49" ht="60" customHeight="1">
      <c r="A131" s="13"/>
      <c r="B131" s="10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46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</row>
    <row r="132" spans="1:49" ht="60" customHeight="1">
      <c r="A132" s="14"/>
      <c r="B132" s="11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46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</row>
    <row r="133" spans="1:49" ht="60" customHeight="1">
      <c r="A133" s="13"/>
      <c r="B133" s="10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46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</row>
    <row r="134" spans="1:49" ht="60" customHeight="1">
      <c r="A134" s="14"/>
      <c r="B134" s="11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46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</row>
    <row r="135" spans="1:49" ht="60" customHeight="1">
      <c r="A135" s="13"/>
      <c r="B135" s="10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46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</row>
    <row r="136" spans="1:49" ht="60" customHeight="1">
      <c r="A136" s="14"/>
      <c r="B136" s="11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46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</row>
    <row r="137" spans="1:49" ht="60" customHeight="1">
      <c r="A137" s="13"/>
      <c r="B137" s="10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46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</row>
    <row r="138" spans="1:49" ht="60" customHeight="1">
      <c r="A138" s="14"/>
      <c r="B138" s="11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46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</row>
    <row r="139" spans="1:49" ht="60" customHeight="1">
      <c r="A139" s="13"/>
      <c r="B139" s="10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46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</row>
    <row r="140" spans="1:49" ht="60" customHeight="1">
      <c r="A140" s="14"/>
      <c r="B140" s="11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46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</row>
    <row r="141" spans="1:49" ht="60" customHeight="1">
      <c r="A141" s="13"/>
      <c r="B141" s="10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46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</row>
    <row r="142" spans="1:49" ht="60" customHeight="1">
      <c r="A142" s="14"/>
      <c r="B142" s="11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46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</row>
    <row r="143" spans="1:49" ht="60" customHeight="1">
      <c r="A143" s="13"/>
      <c r="B143" s="10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46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</row>
    <row r="144" spans="1:49" ht="60" customHeight="1">
      <c r="A144" s="14"/>
      <c r="B144" s="11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46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</row>
    <row r="145" spans="1:49" ht="60" customHeight="1">
      <c r="A145" s="13"/>
      <c r="B145" s="10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46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</row>
    <row r="146" spans="1:49" ht="60" customHeight="1">
      <c r="A146" s="14"/>
      <c r="B146" s="11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46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</row>
    <row r="147" spans="1:49" ht="60" customHeight="1">
      <c r="A147" s="13"/>
      <c r="B147" s="10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46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</row>
    <row r="148" spans="1:49" ht="60" customHeight="1">
      <c r="A148" s="14"/>
      <c r="B148" s="11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46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</row>
    <row r="149" spans="1:49" ht="60" customHeight="1">
      <c r="A149" s="13"/>
      <c r="B149" s="10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46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</row>
    <row r="150" spans="1:49" ht="60" customHeight="1">
      <c r="A150" s="14"/>
      <c r="B150" s="11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46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</row>
    <row r="151" spans="1:49" ht="60" customHeight="1">
      <c r="A151" s="13"/>
      <c r="B151" s="10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46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</row>
    <row r="152" spans="1:49" ht="60" customHeight="1">
      <c r="A152" s="14"/>
      <c r="B152" s="11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46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</row>
    <row r="153" spans="1:49" ht="60" customHeight="1">
      <c r="A153" s="13"/>
      <c r="B153" s="10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46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</row>
    <row r="154" spans="1:49" ht="60" customHeight="1">
      <c r="A154" s="14"/>
      <c r="B154" s="11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46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</row>
    <row r="155" spans="1:49" ht="60" customHeight="1">
      <c r="A155" s="13"/>
      <c r="B155" s="10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46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</row>
    <row r="156" spans="1:49" ht="60" customHeight="1">
      <c r="A156" s="14"/>
      <c r="B156" s="11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46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</row>
    <row r="157" spans="1:49" ht="60" customHeight="1">
      <c r="A157" s="13"/>
      <c r="B157" s="10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46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</row>
    <row r="158" spans="1:49" ht="60" customHeight="1">
      <c r="A158" s="14"/>
      <c r="B158" s="11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46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</row>
    <row r="159" spans="1:49" ht="60" customHeight="1">
      <c r="A159" s="13"/>
      <c r="B159" s="10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46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</row>
    <row r="160" spans="1:49" ht="60" customHeight="1">
      <c r="A160" s="14"/>
      <c r="B160" s="11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46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</row>
    <row r="161" spans="1:49" ht="60" customHeight="1">
      <c r="A161" s="13"/>
      <c r="B161" s="10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46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</row>
    <row r="162" spans="1:49" ht="60" customHeight="1">
      <c r="A162" s="14"/>
      <c r="B162" s="11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46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</row>
    <row r="163" spans="1:49" ht="60" customHeight="1">
      <c r="A163" s="13"/>
      <c r="B163" s="10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46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</row>
    <row r="164" spans="1:49" ht="60" customHeight="1">
      <c r="A164" s="14"/>
      <c r="B164" s="11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46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</row>
    <row r="165" spans="1:49" ht="60" customHeight="1">
      <c r="A165" s="13"/>
      <c r="B165" s="10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46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</row>
    <row r="166" spans="1:49" ht="60" customHeight="1">
      <c r="A166" s="14"/>
      <c r="B166" s="11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46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</row>
    <row r="167" spans="1:49" ht="60" customHeight="1">
      <c r="A167" s="13"/>
      <c r="B167" s="10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46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</row>
    <row r="168" spans="1:49" ht="60" customHeight="1">
      <c r="A168" s="14"/>
      <c r="B168" s="11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46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</row>
    <row r="169" spans="1:49" ht="60" customHeight="1">
      <c r="A169" s="13"/>
      <c r="B169" s="10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46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</row>
    <row r="170" spans="1:49" ht="60" customHeight="1">
      <c r="A170" s="14"/>
      <c r="B170" s="11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46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</row>
    <row r="171" spans="1:49" ht="60" customHeight="1">
      <c r="A171" s="13"/>
      <c r="B171" s="10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46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</row>
    <row r="172" spans="1:49" ht="60" customHeight="1">
      <c r="A172" s="14"/>
      <c r="B172" s="11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46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</row>
    <row r="173" spans="1:49" ht="60" customHeight="1">
      <c r="A173" s="13"/>
      <c r="B173" s="10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46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</row>
    <row r="174" spans="1:49" ht="60" customHeight="1">
      <c r="A174" s="14"/>
      <c r="B174" s="11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46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</row>
    <row r="175" spans="1:49" ht="60" customHeight="1">
      <c r="A175" s="13"/>
      <c r="B175" s="10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46"/>
      <c r="U175" s="5" t="s">
        <v>26</v>
      </c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</row>
    <row r="176" spans="1:49" ht="60" customHeight="1">
      <c r="A176" s="14"/>
      <c r="B176" s="11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46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</row>
    <row r="177" spans="1:49" ht="60" customHeight="1">
      <c r="A177" s="13"/>
      <c r="B177" s="10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46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</row>
    <row r="178" spans="1:49" ht="60" customHeight="1">
      <c r="A178" s="14"/>
      <c r="B178" s="11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46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</row>
    <row r="179" spans="1:49" ht="60" customHeight="1">
      <c r="A179" s="13"/>
      <c r="B179" s="10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46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</row>
    <row r="180" spans="1:49" ht="60" customHeight="1">
      <c r="A180" s="14"/>
      <c r="B180" s="11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46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</row>
    <row r="181" spans="1:49" ht="60" customHeight="1">
      <c r="A181" s="13"/>
      <c r="B181" s="10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46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</row>
    <row r="182" spans="1:49" ht="60" customHeight="1">
      <c r="A182" s="14"/>
      <c r="B182" s="11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46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</row>
    <row r="183" spans="1:49" ht="60" customHeight="1">
      <c r="A183" s="13"/>
      <c r="B183" s="10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46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</row>
    <row r="184" spans="1:49" ht="60" customHeight="1">
      <c r="A184" s="14"/>
      <c r="B184" s="11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46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</row>
    <row r="185" spans="1:49" ht="60" customHeight="1">
      <c r="A185" s="13"/>
      <c r="B185" s="10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46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</row>
    <row r="186" spans="1:49" ht="60" customHeight="1">
      <c r="A186" s="14"/>
      <c r="B186" s="11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46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</row>
    <row r="187" spans="1:49" ht="60" customHeight="1">
      <c r="A187" s="13"/>
      <c r="B187" s="10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46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</row>
    <row r="188" spans="1:49" ht="60" customHeight="1">
      <c r="A188" s="14"/>
      <c r="B188" s="11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46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</row>
    <row r="189" spans="1:49" ht="60" customHeight="1">
      <c r="A189" s="13"/>
      <c r="B189" s="10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46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</row>
    <row r="190" spans="1:49" ht="60" customHeight="1">
      <c r="A190" s="14"/>
      <c r="B190" s="11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46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</row>
    <row r="191" spans="1:49" ht="60" customHeight="1">
      <c r="A191" s="13"/>
      <c r="B191" s="10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46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</row>
    <row r="192" spans="1:49" ht="60" customHeight="1">
      <c r="A192" s="14"/>
      <c r="B192" s="11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46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</row>
    <row r="193" spans="1:49" ht="60" customHeight="1">
      <c r="A193" s="13"/>
      <c r="B193" s="10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4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</row>
    <row r="194" spans="1:49" ht="60" customHeight="1">
      <c r="A194" s="14"/>
      <c r="B194" s="11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4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</row>
    <row r="195" spans="1:49" ht="60" customHeight="1">
      <c r="A195" s="13"/>
      <c r="B195" s="10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46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</row>
    <row r="196" spans="1:49" ht="60" customHeight="1">
      <c r="A196" s="14"/>
      <c r="B196" s="11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46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</row>
    <row r="197" spans="1:49" ht="60" customHeight="1">
      <c r="A197" s="13"/>
      <c r="B197" s="10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46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</row>
    <row r="198" spans="1:49" ht="60" customHeight="1">
      <c r="A198" s="14"/>
      <c r="B198" s="11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46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</row>
    <row r="199" spans="1:49" ht="60" customHeight="1">
      <c r="A199" s="13"/>
      <c r="B199" s="10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46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</row>
    <row r="200" spans="1:49" ht="60" customHeight="1">
      <c r="A200" s="13"/>
      <c r="B200" s="10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46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</row>
    <row r="201" spans="1:49" ht="60" customHeight="1">
      <c r="A201" s="14"/>
      <c r="B201" s="11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46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</row>
    <row r="202" spans="1:49" ht="60" customHeight="1">
      <c r="A202" s="13"/>
      <c r="B202" s="10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46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</row>
    <row r="203" spans="1:49" ht="60" customHeight="1">
      <c r="A203" s="14"/>
      <c r="B203" s="11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46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</row>
    <row r="204" spans="1:49" ht="60" customHeight="1">
      <c r="A204" s="13"/>
      <c r="B204" s="10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46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</row>
    <row r="205" spans="1:49" ht="60" customHeight="1">
      <c r="A205" s="14"/>
      <c r="B205" s="11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46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</row>
    <row r="206" spans="1:49" ht="60" customHeight="1">
      <c r="A206" s="13"/>
      <c r="B206" s="10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46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</row>
    <row r="207" spans="1:49" ht="60" customHeight="1">
      <c r="A207" s="14"/>
      <c r="B207" s="11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46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</row>
    <row r="208" spans="1:49" ht="60" customHeight="1">
      <c r="A208" s="13"/>
      <c r="B208" s="10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46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</row>
    <row r="209" spans="1:49" ht="60" customHeight="1">
      <c r="A209" s="14"/>
      <c r="B209" s="11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46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</row>
    <row r="210" spans="1:49" ht="60" customHeight="1">
      <c r="A210" s="13"/>
      <c r="B210" s="10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46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</row>
    <row r="211" spans="1:49" ht="60" customHeight="1">
      <c r="A211" s="14"/>
      <c r="B211" s="11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46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</row>
    <row r="212" spans="1:49" ht="60" customHeight="1">
      <c r="A212" s="13"/>
      <c r="B212" s="10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46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</row>
    <row r="213" spans="1:49" ht="60" customHeight="1">
      <c r="A213" s="14"/>
      <c r="B213" s="11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46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1:49" ht="60" customHeight="1">
      <c r="A214" s="13"/>
      <c r="B214" s="10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46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1:49" ht="60" customHeight="1">
      <c r="A215" s="14"/>
      <c r="B215" s="11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46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1:49" ht="60" customHeight="1">
      <c r="A216" s="13"/>
      <c r="B216" s="10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46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1:49" ht="60" customHeight="1">
      <c r="A217" s="14"/>
      <c r="B217" s="11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46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1:49" ht="60" customHeight="1">
      <c r="A218" s="13"/>
      <c r="B218" s="10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46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1:49" ht="60" customHeight="1">
      <c r="A219" s="14"/>
      <c r="B219" s="11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46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1:49" ht="60" customHeight="1">
      <c r="A220" s="13"/>
      <c r="B220" s="10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46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1:49" ht="60" customHeight="1">
      <c r="A221" s="14"/>
      <c r="B221" s="11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46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1:49" ht="60" customHeight="1">
      <c r="A222" s="13"/>
      <c r="B222" s="10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46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</row>
    <row r="223" spans="1:49" ht="60" customHeight="1">
      <c r="A223" s="14"/>
      <c r="B223" s="11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46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</row>
    <row r="224" spans="1:49" ht="60" customHeight="1">
      <c r="A224" s="13"/>
      <c r="B224" s="10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46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</row>
    <row r="225" spans="1:40" ht="60" customHeight="1">
      <c r="A225" s="14"/>
      <c r="B225" s="11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46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</row>
    <row r="226" spans="1:40" ht="60" customHeight="1">
      <c r="A226" s="13"/>
      <c r="B226" s="10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46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</row>
    <row r="227" spans="1:40" ht="60" customHeight="1">
      <c r="A227" s="14"/>
      <c r="B227" s="11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46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</row>
    <row r="228" spans="1:40" ht="60" customHeight="1">
      <c r="A228" s="13"/>
      <c r="B228" s="10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46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</row>
    <row r="229" spans="1:40" ht="60" customHeight="1">
      <c r="A229" s="14"/>
      <c r="B229" s="11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46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</row>
    <row r="230" spans="1:40" ht="60" customHeight="1">
      <c r="A230" s="13"/>
      <c r="B230" s="10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46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</row>
    <row r="231" spans="1:40" ht="60" customHeight="1">
      <c r="A231" s="14"/>
      <c r="B231" s="11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46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1:40" ht="60" customHeight="1">
      <c r="A232" s="13"/>
      <c r="B232" s="10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46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1:40" ht="60" customHeight="1">
      <c r="A233" s="14"/>
      <c r="B233" s="11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46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1:40" ht="60" customHeight="1">
      <c r="A234" s="13"/>
      <c r="B234" s="10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46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1:40" ht="60" customHeight="1">
      <c r="A235" s="14"/>
      <c r="B235" s="11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46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1:40" ht="60" customHeight="1">
      <c r="A236" s="13"/>
      <c r="B236" s="10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46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1:40" ht="60" customHeight="1">
      <c r="A237" s="14"/>
      <c r="B237" s="11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46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1:40" ht="60" customHeight="1">
      <c r="A238" s="13"/>
      <c r="B238" s="10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46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1:40" ht="60" customHeight="1">
      <c r="A239" s="14"/>
      <c r="B239" s="11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46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1:40" ht="60" customHeight="1">
      <c r="A240" s="13"/>
      <c r="B240" s="10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46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1:40" ht="60" customHeight="1">
      <c r="A241" s="14"/>
      <c r="B241" s="11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46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1:40" ht="60" customHeight="1">
      <c r="A242" s="13"/>
      <c r="B242" s="10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46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1:40" ht="60" customHeight="1">
      <c r="A243" s="14"/>
      <c r="B243" s="11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46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1:40" ht="60" customHeight="1">
      <c r="A244" s="13"/>
      <c r="B244" s="10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46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1:40" ht="60" customHeight="1">
      <c r="A245" s="14"/>
      <c r="B245" s="11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46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1:40" ht="60" customHeight="1">
      <c r="A246" s="13"/>
      <c r="B246" s="10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46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1:40" ht="60" customHeight="1">
      <c r="A247" s="14"/>
      <c r="B247" s="11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46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1:40" ht="60" customHeight="1">
      <c r="A248" s="13"/>
      <c r="B248" s="10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46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1:40" ht="60" customHeight="1">
      <c r="A249" s="14"/>
      <c r="B249" s="11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46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1:40" ht="60" customHeight="1">
      <c r="A250" s="13"/>
      <c r="B250" s="10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46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</row>
    <row r="251" spans="1:40" ht="60" customHeight="1">
      <c r="A251" s="14"/>
      <c r="B251" s="11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46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</row>
    <row r="252" spans="1:40" ht="60" customHeight="1">
      <c r="A252" s="13"/>
      <c r="B252" s="10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46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</row>
    <row r="253" spans="1:40" ht="60" customHeight="1">
      <c r="A253" s="14"/>
      <c r="B253" s="11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46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</row>
    <row r="254" spans="1:40" ht="60" customHeight="1">
      <c r="A254" s="13"/>
      <c r="B254" s="10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46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</row>
    <row r="255" spans="1:40" ht="60" customHeight="1">
      <c r="A255" s="14"/>
      <c r="B255" s="11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46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</row>
    <row r="256" spans="1:40" ht="60" customHeight="1">
      <c r="A256" s="13"/>
      <c r="B256" s="10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46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</row>
    <row r="257" spans="1:40" ht="60" customHeight="1">
      <c r="A257" s="14"/>
      <c r="B257" s="11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46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</row>
    <row r="258" spans="1:40" ht="60" customHeight="1">
      <c r="A258" s="13"/>
      <c r="B258" s="10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46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</row>
    <row r="259" spans="1:40" ht="60" customHeight="1">
      <c r="A259" s="14"/>
      <c r="B259" s="11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46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1:40" ht="60" customHeight="1">
      <c r="A260" s="13"/>
      <c r="B260" s="10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46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1:40" ht="60" customHeight="1">
      <c r="A261" s="14"/>
      <c r="B261" s="11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46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1:40" ht="60" customHeight="1">
      <c r="A262" s="13"/>
      <c r="B262" s="10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46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1:40" ht="60" customHeight="1">
      <c r="A263" s="14"/>
      <c r="B263" s="11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46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1:40" ht="60" customHeight="1">
      <c r="A264" s="13"/>
      <c r="B264" s="10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46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1:40" ht="60" customHeight="1">
      <c r="A265" s="14"/>
      <c r="B265" s="11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46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1:40" ht="60" customHeight="1">
      <c r="A266" s="13"/>
      <c r="B266" s="10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46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1:40" ht="60" customHeight="1">
      <c r="A267" s="14"/>
      <c r="B267" s="11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46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1:40" ht="60" customHeight="1">
      <c r="A268" s="13"/>
      <c r="B268" s="10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46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1:40" ht="60" customHeight="1">
      <c r="A269" s="14"/>
      <c r="B269" s="11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46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1:40" ht="60" customHeight="1">
      <c r="A270" s="13"/>
      <c r="B270" s="10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46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1:40" ht="60" customHeight="1">
      <c r="A271" s="14"/>
      <c r="B271" s="11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46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1:40" ht="60" customHeight="1">
      <c r="A272" s="13"/>
      <c r="B272" s="10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46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1:40" ht="60" customHeight="1">
      <c r="A273" s="14"/>
      <c r="B273" s="11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46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1:40" ht="60" customHeight="1">
      <c r="A274" s="13"/>
      <c r="B274" s="10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46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1:40" ht="60" customHeight="1">
      <c r="A275" s="14"/>
      <c r="B275" s="11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46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1:40" ht="60" customHeight="1">
      <c r="A276" s="13"/>
      <c r="B276" s="10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46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1:40" ht="60" customHeight="1">
      <c r="A277" s="14"/>
      <c r="B277" s="11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46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1:40" ht="60" customHeight="1">
      <c r="A278" s="13"/>
      <c r="B278" s="10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46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</row>
    <row r="279" spans="1:40" ht="60" customHeight="1">
      <c r="A279" s="14"/>
      <c r="B279" s="11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46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</row>
    <row r="280" spans="1:40" ht="60" customHeight="1">
      <c r="A280" s="13"/>
      <c r="B280" s="10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46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</row>
    <row r="281" spans="1:40" ht="60" customHeight="1">
      <c r="A281" s="14"/>
      <c r="B281" s="11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46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</row>
    <row r="282" spans="1:40" ht="60" customHeight="1">
      <c r="A282" s="13"/>
      <c r="B282" s="10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46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</row>
    <row r="283" spans="1:40" ht="60" customHeight="1">
      <c r="A283" s="14"/>
      <c r="B283" s="11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46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</row>
    <row r="284" spans="1:40" ht="60" customHeight="1">
      <c r="A284" s="13"/>
      <c r="B284" s="10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46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</row>
    <row r="285" spans="1:40" ht="60" customHeight="1">
      <c r="A285" s="14"/>
      <c r="B285" s="11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46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</row>
    <row r="286" spans="1:40" ht="60" customHeight="1">
      <c r="A286" s="13"/>
      <c r="B286" s="10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46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</row>
    <row r="287" spans="1:40" ht="60" customHeight="1">
      <c r="A287" s="14"/>
      <c r="B287" s="11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46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1:40" ht="60" customHeight="1">
      <c r="A288" s="13"/>
      <c r="B288" s="10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46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1:40" ht="60" customHeight="1">
      <c r="A289" s="14"/>
      <c r="B289" s="11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46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1:40" ht="60" customHeight="1">
      <c r="A290" s="13"/>
      <c r="B290" s="10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46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1:40" ht="60" customHeight="1">
      <c r="A291" s="14"/>
      <c r="B291" s="11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46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1:40" ht="60" customHeight="1">
      <c r="A292" s="13"/>
      <c r="B292" s="10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46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1:40" ht="60" customHeight="1">
      <c r="A293" s="14"/>
      <c r="B293" s="11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46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1:40" ht="60" customHeight="1">
      <c r="A294" s="13"/>
      <c r="B294" s="10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46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1:40" ht="60" customHeight="1">
      <c r="A295" s="14"/>
      <c r="B295" s="11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46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1:40" ht="60" customHeight="1">
      <c r="A296" s="13"/>
      <c r="B296" s="10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46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1:40" ht="60" customHeight="1">
      <c r="A297" s="14"/>
      <c r="B297" s="11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46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1:40" ht="60" customHeight="1">
      <c r="A298" s="13"/>
      <c r="B298" s="10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46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1:40" ht="60" customHeight="1">
      <c r="A299" s="14"/>
      <c r="B299" s="11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46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1:40" ht="60" customHeight="1">
      <c r="A300" s="13"/>
      <c r="B300" s="10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46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1:40" ht="60" customHeight="1">
      <c r="A301" s="14"/>
      <c r="B301" s="11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46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1:40" ht="60" customHeight="1">
      <c r="A302" s="13"/>
      <c r="B302" s="10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46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1:40" ht="60" customHeight="1">
      <c r="A303" s="14"/>
      <c r="B303" s="11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46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1:40" ht="60" customHeight="1">
      <c r="A304" s="13"/>
      <c r="B304" s="10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46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1:40" ht="60" customHeight="1">
      <c r="A305" s="14"/>
      <c r="B305" s="11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46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1:40" ht="60" customHeight="1">
      <c r="A306" s="13"/>
      <c r="B306" s="10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46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1:40" ht="60" customHeight="1">
      <c r="A307" s="14"/>
      <c r="B307" s="11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46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1:40" ht="60" customHeight="1">
      <c r="A308" s="13"/>
      <c r="B308" s="10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46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1:40" ht="60" customHeight="1">
      <c r="A309" s="14"/>
      <c r="B309" s="11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46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1:40" ht="60" customHeight="1">
      <c r="A310" s="13"/>
      <c r="B310" s="10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46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1:40" ht="60" customHeight="1">
      <c r="A311" s="14"/>
      <c r="B311" s="11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46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1:40" ht="60" customHeight="1">
      <c r="A312" s="13"/>
      <c r="B312" s="10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46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1:40" ht="60" customHeight="1">
      <c r="A313" s="14"/>
      <c r="B313" s="11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46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1:40" ht="60" customHeight="1">
      <c r="A314" s="13"/>
      <c r="B314" s="10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46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1:40" ht="60" customHeight="1">
      <c r="A315" s="14"/>
      <c r="B315" s="11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46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1:40" ht="60" customHeight="1">
      <c r="A316" s="13"/>
      <c r="B316" s="10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46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1:40" ht="60" customHeight="1">
      <c r="A317" s="14"/>
      <c r="B317" s="11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46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1:40" ht="60" customHeight="1">
      <c r="A318" s="13"/>
      <c r="B318" s="10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46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1:40" ht="60" customHeight="1">
      <c r="A319" s="14"/>
      <c r="B319" s="11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46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1:40" ht="60" customHeight="1">
      <c r="A320" s="13"/>
      <c r="B320" s="10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46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1:40" ht="60" customHeight="1">
      <c r="A321" s="14"/>
      <c r="B321" s="11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46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1:40" ht="60" customHeight="1">
      <c r="A322" s="13"/>
      <c r="B322" s="10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46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1:40" ht="60" customHeight="1">
      <c r="A323" s="14"/>
      <c r="B323" s="11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46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1:40" ht="60" customHeight="1">
      <c r="A324" s="13"/>
      <c r="B324" s="10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46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1:40" ht="60" customHeight="1">
      <c r="A325" s="14"/>
      <c r="B325" s="11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46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</row>
    <row r="326" spans="1:40" ht="60" customHeight="1">
      <c r="A326" s="13"/>
      <c r="B326" s="10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46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</row>
    <row r="327" spans="1:40" ht="60" customHeight="1">
      <c r="A327" s="14"/>
      <c r="B327" s="11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46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</row>
    <row r="328" spans="1:40" ht="60" customHeight="1">
      <c r="A328" s="13"/>
      <c r="B328" s="10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46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</row>
    <row r="329" spans="1:40" ht="60" customHeight="1">
      <c r="A329" s="14"/>
      <c r="B329" s="11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46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</row>
    <row r="330" spans="1:40" ht="60" customHeight="1">
      <c r="A330" s="13"/>
      <c r="B330" s="10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46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</row>
    <row r="331" spans="1:40" ht="60" customHeight="1">
      <c r="A331" s="14"/>
      <c r="B331" s="11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46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</row>
    <row r="332" spans="1:40" ht="60" customHeight="1">
      <c r="A332" s="13"/>
      <c r="B332" s="10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46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</row>
    <row r="333" spans="1:40" ht="60" customHeight="1">
      <c r="A333" s="14"/>
      <c r="B333" s="11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46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1:40" ht="60" customHeight="1">
      <c r="A334" s="13"/>
      <c r="B334" s="10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46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1:40" ht="60" customHeight="1">
      <c r="A335" s="14"/>
      <c r="B335" s="11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46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1:40" ht="60" customHeight="1">
      <c r="A336" s="13"/>
      <c r="B336" s="10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46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1:40" ht="60" customHeight="1">
      <c r="A337" s="14"/>
      <c r="B337" s="11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46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1:40" ht="60" customHeight="1">
      <c r="A338" s="13"/>
      <c r="B338" s="10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46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1:40" ht="60" customHeight="1">
      <c r="A339" s="14"/>
      <c r="B339" s="11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46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1:40" ht="60" customHeight="1">
      <c r="A340" s="13"/>
      <c r="B340" s="10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46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1:40" ht="60" customHeight="1">
      <c r="A341" s="14"/>
      <c r="B341" s="11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46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1:40" ht="60" customHeight="1">
      <c r="A342" s="13"/>
      <c r="B342" s="10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46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1:40" ht="60" customHeight="1">
      <c r="A343" s="14"/>
      <c r="B343" s="11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46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1:40" ht="60" customHeight="1">
      <c r="A344" s="13"/>
      <c r="B344" s="10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46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1:40" ht="60" customHeight="1">
      <c r="A345" s="14"/>
      <c r="B345" s="11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46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1:40" ht="60" customHeight="1">
      <c r="A346" s="13"/>
      <c r="B346" s="10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46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1:40" ht="60" customHeight="1">
      <c r="A347" s="14"/>
      <c r="B347" s="11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46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1:40" ht="60" customHeight="1">
      <c r="A348" s="13"/>
      <c r="B348" s="10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46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1:40" ht="60" customHeight="1">
      <c r="A349" s="14"/>
      <c r="B349" s="11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46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1:40" ht="60" customHeight="1">
      <c r="A350" s="13"/>
      <c r="B350" s="10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46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1:40" ht="60" customHeight="1">
      <c r="A351" s="14"/>
      <c r="B351" s="11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46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1:40" ht="60" customHeight="1">
      <c r="A352" s="13"/>
      <c r="B352" s="10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46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1:40" ht="60" customHeight="1">
      <c r="A353" s="14"/>
      <c r="B353" s="11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46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1:40" ht="60" customHeight="1">
      <c r="A354" s="13"/>
      <c r="B354" s="10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46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</row>
    <row r="355" spans="1:40" ht="60" customHeight="1">
      <c r="A355" s="14"/>
      <c r="B355" s="11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46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</row>
    <row r="356" spans="1:40" ht="60" customHeight="1">
      <c r="A356" s="13"/>
      <c r="B356" s="10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46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1:40" ht="60" customHeight="1">
      <c r="A357" s="14"/>
      <c r="B357" s="11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46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1:40" ht="60" customHeight="1">
      <c r="A358" s="13"/>
      <c r="B358" s="10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46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1:40" ht="60" customHeight="1">
      <c r="A359" s="14"/>
      <c r="B359" s="11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46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1:40" ht="60" customHeight="1">
      <c r="A360" s="13"/>
      <c r="B360" s="10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46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1:40" ht="60" customHeight="1">
      <c r="A361" s="14"/>
      <c r="B361" s="11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46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1:40" ht="60" customHeight="1">
      <c r="A362" s="13"/>
      <c r="B362" s="10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46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1:40" ht="60" customHeight="1">
      <c r="A363" s="14"/>
      <c r="B363" s="11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46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1:40" ht="60" customHeight="1">
      <c r="A364" s="13"/>
      <c r="B364" s="10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46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1:40" ht="60" customHeight="1">
      <c r="A365" s="14"/>
      <c r="B365" s="11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46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1:40" ht="60" customHeight="1">
      <c r="A366" s="13"/>
      <c r="B366" s="10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46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</row>
    <row r="367" spans="1:40" ht="60" customHeight="1">
      <c r="A367" s="14"/>
      <c r="B367" s="11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46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1:40" ht="60" customHeight="1">
      <c r="A368" s="13"/>
      <c r="B368" s="10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46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1:40" ht="60" customHeight="1">
      <c r="A369" s="14"/>
      <c r="B369" s="11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46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1:40" ht="60" customHeight="1">
      <c r="A370" s="13"/>
      <c r="B370" s="10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46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1:40" ht="60" customHeight="1">
      <c r="A371" s="14"/>
      <c r="B371" s="11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46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1:40" ht="60" customHeight="1">
      <c r="A372" s="13"/>
      <c r="B372" s="10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46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1:40" ht="60" customHeight="1">
      <c r="A373" s="14"/>
      <c r="B373" s="11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46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1:40" ht="60" customHeight="1">
      <c r="A374" s="13"/>
      <c r="B374" s="10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46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</row>
    <row r="375" spans="1:40" ht="60" customHeight="1">
      <c r="A375" s="14"/>
      <c r="B375" s="11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46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1:40" ht="60" customHeight="1">
      <c r="A376" s="13"/>
      <c r="B376" s="10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46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1:40" ht="60" customHeight="1">
      <c r="A377" s="14"/>
      <c r="B377" s="1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46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1:40" ht="60" customHeight="1">
      <c r="A378" s="13"/>
      <c r="B378" s="10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46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1:40" ht="60" customHeight="1">
      <c r="A379" s="14"/>
      <c r="B379" s="1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46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1:40" ht="60" customHeight="1">
      <c r="A380" s="13"/>
      <c r="B380" s="10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46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1:40" ht="60" customHeight="1">
      <c r="A381" s="14"/>
      <c r="B381" s="11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46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1:40" ht="60" customHeight="1">
      <c r="A382" s="13"/>
      <c r="B382" s="10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46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1:40" ht="60" customHeight="1">
      <c r="A383" s="14"/>
      <c r="B383" s="1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46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</row>
    <row r="384" spans="1:40" ht="60" customHeight="1">
      <c r="A384" s="13"/>
      <c r="B384" s="10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46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1:40" ht="60" customHeight="1">
      <c r="A385" s="14"/>
      <c r="B385" s="1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46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1:40" ht="60" customHeight="1">
      <c r="A386" s="13"/>
      <c r="B386" s="10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46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1:40" ht="60" customHeight="1">
      <c r="A387" s="14"/>
      <c r="B387" s="11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46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1:40" ht="60" customHeight="1">
      <c r="A388" s="13"/>
      <c r="B388" s="10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46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1:40" ht="60" customHeight="1">
      <c r="A389" s="14"/>
      <c r="B389" s="11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46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1:40" ht="60" customHeight="1">
      <c r="A390" s="13"/>
      <c r="B390" s="10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46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1:40" ht="60" customHeight="1">
      <c r="A391" s="14"/>
      <c r="B391" s="11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46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1:40" ht="60" customHeight="1">
      <c r="A392" s="13"/>
      <c r="B392" s="10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46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</row>
    <row r="393" spans="1:40" ht="60" customHeight="1">
      <c r="A393" s="14"/>
      <c r="B393" s="11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46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1:40" ht="60" customHeight="1">
      <c r="A394" s="13"/>
      <c r="B394" s="10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46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1:40" ht="60" customHeight="1">
      <c r="A395" s="14"/>
      <c r="B395" s="1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46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1:40" ht="60" customHeight="1">
      <c r="A396" s="13"/>
      <c r="B396" s="10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46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1:40" ht="60" customHeight="1">
      <c r="A397" s="14"/>
      <c r="B397" s="1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46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1:40" ht="60" customHeight="1">
      <c r="A398" s="13"/>
      <c r="B398" s="10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46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</row>
    <row r="399" spans="1:40" ht="60" customHeight="1">
      <c r="A399" s="14"/>
      <c r="B399" s="11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46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</row>
    <row r="400" spans="1:40" ht="60" customHeight="1">
      <c r="A400" s="13"/>
      <c r="B400" s="10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46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</row>
    <row r="401" spans="1:40" ht="60" customHeight="1">
      <c r="A401" s="14"/>
      <c r="B401" s="11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46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</row>
    <row r="402" spans="1:40" ht="60" customHeight="1">
      <c r="A402" s="13"/>
      <c r="B402" s="10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46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</row>
    <row r="403" spans="1:40" ht="60" customHeight="1">
      <c r="A403" s="14"/>
      <c r="B403" s="11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46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</row>
    <row r="404" spans="1:40" ht="60" customHeight="1">
      <c r="A404" s="13"/>
      <c r="B404" s="10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46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</row>
    <row r="405" spans="1:40" ht="60" customHeight="1">
      <c r="A405" s="14"/>
      <c r="B405" s="1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46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</row>
    <row r="406" spans="1:40" ht="60" customHeight="1">
      <c r="A406" s="13"/>
      <c r="B406" s="10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46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</row>
    <row r="407" spans="1:40" ht="60" customHeight="1">
      <c r="A407" s="14"/>
      <c r="B407" s="1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30"/>
      <c r="T407" s="46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</row>
    <row r="408" spans="1:40" ht="60" customHeight="1">
      <c r="A408" s="13"/>
      <c r="B408" s="10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46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</row>
    <row r="409" spans="1:40" ht="60" customHeight="1">
      <c r="A409" s="14"/>
      <c r="B409" s="11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46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</row>
    <row r="410" spans="1:40" ht="60" customHeight="1">
      <c r="A410" s="13"/>
      <c r="B410" s="10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46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1:40" ht="60" customHeight="1">
      <c r="A411" s="14"/>
      <c r="B411" s="11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46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1:40" ht="60" customHeight="1">
      <c r="A412" s="13"/>
      <c r="B412" s="10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46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1:40" ht="60" customHeight="1">
      <c r="A413" s="14"/>
      <c r="B413" s="1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30"/>
      <c r="T413" s="46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1:40" ht="60" customHeight="1">
      <c r="A414" s="13"/>
      <c r="B414" s="10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46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1:40" ht="60" customHeight="1">
      <c r="A415" s="14"/>
      <c r="B415" s="11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46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1:40" ht="60" customHeight="1">
      <c r="A416" s="13"/>
      <c r="B416" s="10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46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1:40" ht="60" customHeight="1">
      <c r="A417" s="14"/>
      <c r="B417" s="11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46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1:40" ht="60" customHeight="1">
      <c r="A418" s="13"/>
      <c r="B418" s="10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46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1:40" ht="60" customHeight="1">
      <c r="A419" s="14"/>
      <c r="B419" s="1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30"/>
      <c r="T419" s="46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1:40" ht="60" customHeight="1">
      <c r="A420" s="13"/>
      <c r="B420" s="10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46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1:40" ht="60" customHeight="1">
      <c r="A421" s="14"/>
      <c r="B421" s="11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46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1:40" ht="60" customHeight="1">
      <c r="A422" s="13"/>
      <c r="B422" s="10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46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1:40" ht="60" customHeight="1">
      <c r="A423" s="14"/>
      <c r="B423" s="11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46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1:40" ht="60" customHeight="1">
      <c r="A424" s="13"/>
      <c r="B424" s="10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46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1:40" ht="60" customHeight="1">
      <c r="A425" s="14"/>
      <c r="B425" s="11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46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1:40" ht="60" customHeight="1">
      <c r="A426" s="13"/>
      <c r="B426" s="10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46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1:40" ht="60" customHeight="1">
      <c r="A427" s="14"/>
      <c r="B427" s="11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46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1:40" ht="60" customHeight="1">
      <c r="A428" s="13"/>
      <c r="B428" s="10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46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1:40" ht="60" customHeight="1">
      <c r="A429" s="14"/>
      <c r="B429" s="11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46"/>
      <c r="U429" s="5" t="s">
        <v>26</v>
      </c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1:40" ht="60" customHeight="1">
      <c r="A430" s="13"/>
      <c r="B430" s="10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46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1:40" ht="60" customHeight="1">
      <c r="A431" s="14"/>
      <c r="B431" s="11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46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1:40" ht="60" customHeight="1">
      <c r="A432" s="13"/>
      <c r="B432" s="10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46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1:40" ht="60" customHeight="1">
      <c r="A433" s="14"/>
      <c r="B433" s="1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30"/>
      <c r="T433" s="46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1:40" ht="60" customHeight="1">
      <c r="A434" s="13"/>
      <c r="B434" s="10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46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1:40" ht="60" customHeight="1">
      <c r="A435" s="14"/>
      <c r="B435" s="11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46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1:40" ht="60" customHeight="1">
      <c r="A436" s="13"/>
      <c r="B436" s="10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46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1:40" ht="60" customHeight="1">
      <c r="A437" s="14"/>
      <c r="B437" s="11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46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1:40" ht="60" customHeight="1">
      <c r="A438" s="13"/>
      <c r="B438" s="10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46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1:40" ht="60" customHeight="1">
      <c r="A439" s="14"/>
      <c r="B439" s="1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46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1:40" ht="60" customHeight="1">
      <c r="A440" s="13"/>
      <c r="B440" s="10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46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1:40" ht="60" customHeight="1">
      <c r="A441" s="14"/>
      <c r="B441" s="1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46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1:40" ht="60" customHeight="1">
      <c r="A442" s="13"/>
      <c r="B442" s="10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46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1:40" ht="60" customHeight="1">
      <c r="A443" s="14"/>
      <c r="B443" s="11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46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</row>
    <row r="444" spans="1:40" ht="60" customHeight="1">
      <c r="A444" s="13"/>
      <c r="B444" s="10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46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</row>
    <row r="445" spans="1:40" ht="60" customHeight="1">
      <c r="A445" s="14"/>
      <c r="B445" s="11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46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</row>
    <row r="446" spans="1:40" ht="60" customHeight="1">
      <c r="A446" s="13"/>
      <c r="B446" s="10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46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</row>
    <row r="447" spans="1:40" ht="60" customHeight="1">
      <c r="A447" s="14"/>
      <c r="B447" s="1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46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</row>
    <row r="448" spans="1:40" ht="60" customHeight="1">
      <c r="A448" s="13"/>
      <c r="B448" s="10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46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</row>
    <row r="449" spans="1:40" ht="60" customHeight="1">
      <c r="A449" s="14"/>
      <c r="B449" s="1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46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</row>
    <row r="450" spans="1:40" ht="60" customHeight="1">
      <c r="A450" s="13"/>
      <c r="B450" s="10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46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</row>
    <row r="451" spans="1:40" ht="60" customHeight="1">
      <c r="A451" s="14"/>
      <c r="B451" s="1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46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</row>
    <row r="452" spans="1:40" ht="60" customHeight="1">
      <c r="A452" s="13"/>
      <c r="B452" s="10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46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</row>
    <row r="453" spans="1:40" ht="60" customHeight="1">
      <c r="A453" s="14"/>
      <c r="B453" s="1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46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</row>
    <row r="454" spans="1:40" ht="60" customHeight="1">
      <c r="A454" s="13"/>
      <c r="B454" s="10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46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</row>
    <row r="455" spans="1:40" ht="60" customHeight="1">
      <c r="A455" s="14"/>
      <c r="B455" s="1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46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</row>
    <row r="456" spans="1:40" ht="60" customHeight="1">
      <c r="A456" s="13"/>
      <c r="B456" s="10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46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</row>
    <row r="457" spans="1:40" ht="60" customHeight="1">
      <c r="A457" s="14"/>
      <c r="B457" s="11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46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</row>
    <row r="458" spans="1:40" ht="60" customHeight="1">
      <c r="A458" s="13"/>
      <c r="B458" s="10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46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</row>
    <row r="459" spans="1:40" ht="60" customHeight="1">
      <c r="A459" s="14"/>
      <c r="B459" s="1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46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</row>
    <row r="460" spans="1:40" ht="60" customHeight="1">
      <c r="A460" s="13"/>
      <c r="B460" s="10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46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</row>
    <row r="461" spans="1:40" ht="60" customHeight="1">
      <c r="A461" s="14"/>
      <c r="B461" s="11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46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</row>
    <row r="462" spans="1:40" ht="60" customHeight="1">
      <c r="A462" s="13"/>
      <c r="B462" s="10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46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</row>
    <row r="463" spans="1:40" ht="60" customHeight="1">
      <c r="A463" s="14"/>
      <c r="B463" s="1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46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</row>
    <row r="464" spans="1:40" ht="60" customHeight="1">
      <c r="A464" s="13"/>
      <c r="B464" s="10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46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</row>
    <row r="465" spans="1:40" ht="60" customHeight="1">
      <c r="A465" s="14"/>
      <c r="B465" s="11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46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</row>
    <row r="466" spans="1:40" ht="60" customHeight="1">
      <c r="A466" s="13"/>
      <c r="B466" s="10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46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</row>
    <row r="467" spans="1:40" ht="60" customHeight="1">
      <c r="A467" s="14"/>
      <c r="B467" s="1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46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</row>
    <row r="468" spans="1:40" ht="60" customHeight="1">
      <c r="A468" s="13"/>
      <c r="B468" s="10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46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</row>
    <row r="469" spans="1:40" ht="60" customHeight="1">
      <c r="A469" s="14"/>
      <c r="B469" s="1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30"/>
      <c r="T469" s="46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</row>
    <row r="470" spans="1:40" ht="60" customHeight="1">
      <c r="A470" s="13"/>
      <c r="B470" s="10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46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</row>
    <row r="471" spans="1:40" ht="60" customHeight="1">
      <c r="A471" s="14"/>
      <c r="B471" s="1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46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</row>
    <row r="472" spans="1:40" ht="60" customHeight="1">
      <c r="A472" s="13"/>
      <c r="B472" s="10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46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</row>
    <row r="473" spans="1:40" ht="60" customHeight="1">
      <c r="A473" s="14"/>
      <c r="B473" s="11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46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</row>
    <row r="474" spans="1:40" ht="60" customHeight="1">
      <c r="A474" s="13"/>
      <c r="B474" s="10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46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</row>
    <row r="475" spans="1:40" ht="60" customHeight="1">
      <c r="A475" s="14"/>
      <c r="B475" s="1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46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</row>
    <row r="476" spans="1:40" ht="60" customHeight="1">
      <c r="A476" s="13"/>
      <c r="B476" s="10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46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</row>
    <row r="477" spans="1:40" ht="60" customHeight="1">
      <c r="A477" s="14"/>
      <c r="B477" s="1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46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</row>
    <row r="478" spans="1:40" ht="60" customHeight="1">
      <c r="A478" s="13"/>
      <c r="B478" s="10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46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</row>
    <row r="479" spans="1:40" ht="60" customHeight="1">
      <c r="A479" s="14"/>
      <c r="B479" s="11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46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</row>
    <row r="480" spans="1:40" ht="60" customHeight="1">
      <c r="A480" s="13"/>
      <c r="B480" s="10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46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</row>
    <row r="481" spans="1:40" ht="60" customHeight="1">
      <c r="A481" s="14"/>
      <c r="B481" s="1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46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</row>
    <row r="482" spans="1:40" ht="60" customHeight="1">
      <c r="A482" s="13"/>
      <c r="B482" s="10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46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</row>
    <row r="483" spans="1:40" ht="60" customHeight="1">
      <c r="A483" s="14"/>
      <c r="B483" s="1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46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</row>
    <row r="484" spans="1:40" ht="60" customHeight="1">
      <c r="A484" s="13"/>
      <c r="B484" s="10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46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</row>
    <row r="485" spans="1:40" ht="60" customHeight="1">
      <c r="A485" s="14"/>
      <c r="B485" s="11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46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</row>
    <row r="486" spans="1:40" ht="60" customHeight="1">
      <c r="A486" s="13"/>
      <c r="B486" s="10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46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</row>
    <row r="487" spans="1:40" ht="60" customHeight="1">
      <c r="A487" s="14"/>
      <c r="B487" s="11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46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</row>
    <row r="488" spans="1:40" ht="60" customHeight="1">
      <c r="A488" s="13"/>
      <c r="B488" s="10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46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</row>
    <row r="489" spans="1:40" ht="60" customHeight="1">
      <c r="A489" s="14"/>
      <c r="B489" s="11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46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</row>
    <row r="490" spans="1:40" ht="60" customHeight="1">
      <c r="A490" s="13"/>
      <c r="B490" s="10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46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</row>
    <row r="491" spans="1:40" ht="60" customHeight="1">
      <c r="A491" s="14"/>
      <c r="B491" s="11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46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</row>
    <row r="492" spans="1:40" ht="60" customHeight="1">
      <c r="A492" s="13"/>
      <c r="B492" s="10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46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</row>
    <row r="493" spans="1:40" ht="60" customHeight="1">
      <c r="A493" s="14"/>
      <c r="B493" s="1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46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</row>
    <row r="494" spans="1:40" ht="60" customHeight="1">
      <c r="A494" s="13"/>
      <c r="B494" s="10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46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</row>
    <row r="495" spans="1:40" ht="60" customHeight="1">
      <c r="A495" s="14"/>
      <c r="B495" s="1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46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</row>
    <row r="496" spans="1:40" ht="60" customHeight="1">
      <c r="A496" s="13"/>
      <c r="B496" s="10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46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</row>
    <row r="497" spans="1:40" ht="60" customHeight="1">
      <c r="A497" s="14"/>
      <c r="B497" s="11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46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</row>
    <row r="498" spans="1:40" ht="60" customHeight="1">
      <c r="A498" s="13"/>
      <c r="B498" s="10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46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</row>
    <row r="499" spans="1:40" ht="60" customHeight="1">
      <c r="A499" s="14"/>
      <c r="B499" s="11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46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</row>
    <row r="500" spans="1:40" ht="60" customHeight="1">
      <c r="A500" s="13"/>
      <c r="B500" s="10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46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</row>
    <row r="501" spans="1:40" ht="60" customHeight="1">
      <c r="A501" s="14"/>
      <c r="B501" s="11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46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</row>
    <row r="502" spans="1:40" ht="60" customHeight="1">
      <c r="A502" s="13"/>
      <c r="B502" s="10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46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</row>
    <row r="503" spans="1:40" ht="60" customHeight="1">
      <c r="A503" s="14"/>
      <c r="B503" s="1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46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</row>
    <row r="504" spans="1:40" ht="60" customHeight="1">
      <c r="A504" s="13"/>
      <c r="B504" s="10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46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</row>
    <row r="505" spans="1:40" ht="60" customHeight="1">
      <c r="A505" s="14"/>
      <c r="B505" s="1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30"/>
      <c r="T505" s="46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</row>
    <row r="506" spans="1:40" ht="60" customHeight="1">
      <c r="A506" s="13"/>
      <c r="B506" s="10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46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</row>
    <row r="507" spans="1:40" ht="60" customHeight="1">
      <c r="A507" s="14"/>
      <c r="B507" s="11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46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</row>
    <row r="508" spans="1:40" ht="60" customHeight="1">
      <c r="A508" s="13"/>
      <c r="B508" s="10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46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</row>
    <row r="509" spans="1:40" ht="60" customHeight="1">
      <c r="A509" s="14"/>
      <c r="B509" s="11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46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</row>
    <row r="510" spans="1:40" ht="60" customHeight="1">
      <c r="A510" s="13"/>
      <c r="B510" s="10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46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</row>
    <row r="511" spans="1:40" ht="60" customHeight="1">
      <c r="A511" s="14"/>
      <c r="B511" s="1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30"/>
      <c r="T511" s="46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</row>
    <row r="512" spans="1:40" ht="60" customHeight="1">
      <c r="A512" s="13"/>
      <c r="B512" s="10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46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</row>
    <row r="513" spans="1:40" ht="60" customHeight="1">
      <c r="A513" s="14"/>
      <c r="B513" s="11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46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</row>
    <row r="514" spans="1:40" ht="60" customHeight="1">
      <c r="A514" s="13"/>
      <c r="B514" s="10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46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</row>
    <row r="515" spans="1:40" ht="60" customHeight="1">
      <c r="A515" s="14"/>
      <c r="B515" s="11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46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</row>
    <row r="516" spans="1:40" ht="60" customHeight="1">
      <c r="A516" s="13"/>
      <c r="B516" s="10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46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</row>
    <row r="517" spans="1:40" ht="60" customHeight="1">
      <c r="A517" s="14"/>
      <c r="B517" s="1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30"/>
      <c r="T517" s="46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</row>
    <row r="518" spans="1:40" ht="60" customHeight="1">
      <c r="A518" s="13"/>
      <c r="B518" s="10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46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</row>
    <row r="519" spans="1:40" ht="60" customHeight="1">
      <c r="A519" s="14"/>
      <c r="B519" s="11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46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</row>
    <row r="520" spans="1:40" ht="60" customHeight="1">
      <c r="A520" s="13"/>
      <c r="B520" s="10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46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</row>
    <row r="521" spans="1:40" ht="60" customHeight="1">
      <c r="A521" s="14"/>
      <c r="B521" s="11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46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</row>
    <row r="522" spans="1:40" ht="60" customHeight="1">
      <c r="A522" s="13"/>
      <c r="B522" s="10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46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</row>
    <row r="523" spans="1:40" ht="60" customHeight="1">
      <c r="A523" s="14"/>
      <c r="B523" s="11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46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</row>
    <row r="524" spans="1:40" ht="60" customHeight="1">
      <c r="A524" s="13"/>
      <c r="B524" s="10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46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</row>
    <row r="525" spans="1:40" ht="60" customHeight="1">
      <c r="A525" s="14"/>
      <c r="B525" s="11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46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</row>
    <row r="526" spans="1:40" ht="60" customHeight="1">
      <c r="A526" s="13"/>
      <c r="B526" s="10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46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</row>
    <row r="527" spans="1:40" ht="60" customHeight="1">
      <c r="A527" s="14"/>
      <c r="B527" s="11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46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</row>
    <row r="528" spans="1:40" ht="60" customHeight="1">
      <c r="A528" s="13"/>
      <c r="B528" s="10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46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</row>
    <row r="529" spans="1:40" ht="60" customHeight="1">
      <c r="A529" s="14"/>
      <c r="B529" s="11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46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</row>
    <row r="530" spans="1:40" ht="60" customHeight="1">
      <c r="A530" s="13"/>
      <c r="B530" s="10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46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</row>
    <row r="531" spans="1:40" ht="60" customHeight="1">
      <c r="A531" s="14"/>
      <c r="B531" s="1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30"/>
      <c r="T531" s="46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</row>
    <row r="532" spans="1:40" ht="60" customHeight="1">
      <c r="A532" s="13"/>
      <c r="B532" s="10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46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</row>
    <row r="533" spans="1:40" ht="60" customHeight="1">
      <c r="A533" s="14"/>
      <c r="B533" s="11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46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</row>
    <row r="534" spans="1:40" ht="60" customHeight="1">
      <c r="A534" s="13"/>
      <c r="B534" s="10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46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</row>
    <row r="535" spans="1:40" ht="60" customHeight="1">
      <c r="A535" s="14"/>
      <c r="B535" s="11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46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</row>
    <row r="536" spans="1:40" ht="60" customHeight="1">
      <c r="A536" s="13"/>
      <c r="B536" s="10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46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</row>
    <row r="537" spans="1:40" ht="60" customHeight="1">
      <c r="A537" s="14"/>
      <c r="B537" s="1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46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</row>
    <row r="538" spans="1:40" ht="60" customHeight="1">
      <c r="A538" s="13"/>
      <c r="B538" s="10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46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</row>
    <row r="539" spans="1:40" ht="60" customHeight="1">
      <c r="A539" s="14"/>
      <c r="B539" s="1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46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</row>
    <row r="540" spans="1:40" ht="60" customHeight="1">
      <c r="A540" s="13"/>
      <c r="B540" s="10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46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</row>
    <row r="541" spans="1:40" ht="60" customHeight="1">
      <c r="A541" s="14"/>
      <c r="B541" s="11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46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</row>
    <row r="542" spans="1:40" ht="60" customHeight="1">
      <c r="A542" s="13"/>
      <c r="B542" s="10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46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</row>
    <row r="543" spans="1:40" ht="60" customHeight="1">
      <c r="A543" s="14"/>
      <c r="B543" s="11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46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</row>
    <row r="544" spans="1:40" ht="60" customHeight="1">
      <c r="A544" s="13"/>
      <c r="B544" s="10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46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</row>
    <row r="545" spans="1:40" ht="60" customHeight="1">
      <c r="A545" s="14"/>
      <c r="B545" s="1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46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</row>
    <row r="546" spans="1:40" ht="60" customHeight="1">
      <c r="A546" s="13"/>
      <c r="B546" s="10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46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</row>
    <row r="547" spans="1:40" ht="60" customHeight="1">
      <c r="A547" s="14"/>
      <c r="B547" s="1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46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</row>
    <row r="548" spans="1:40" ht="60" customHeight="1">
      <c r="A548" s="13"/>
      <c r="B548" s="10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46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</row>
    <row r="549" spans="1:40" ht="60" customHeight="1">
      <c r="A549" s="14"/>
      <c r="B549" s="1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46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</row>
    <row r="550" spans="1:40" ht="60" customHeight="1">
      <c r="A550" s="13"/>
      <c r="B550" s="10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46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</row>
    <row r="551" spans="1:40" ht="60" customHeight="1">
      <c r="A551" s="14"/>
      <c r="B551" s="1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46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</row>
    <row r="552" spans="1:40" ht="60" customHeight="1">
      <c r="A552" s="13"/>
      <c r="B552" s="10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46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</row>
    <row r="553" spans="1:40" ht="60" customHeight="1">
      <c r="A553" s="14"/>
      <c r="B553" s="1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46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</row>
    <row r="554" spans="1:40" ht="60" customHeight="1">
      <c r="A554" s="13"/>
      <c r="B554" s="10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46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</row>
    <row r="555" spans="1:40" ht="60" customHeight="1">
      <c r="A555" s="14"/>
      <c r="B555" s="11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46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</row>
    <row r="556" spans="1:40" ht="60" customHeight="1">
      <c r="A556" s="13"/>
      <c r="B556" s="10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46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</row>
    <row r="557" spans="1:40" ht="60" customHeight="1">
      <c r="A557" s="14"/>
      <c r="B557" s="1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46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</row>
    <row r="558" spans="1:40" ht="60" customHeight="1">
      <c r="A558" s="13"/>
      <c r="B558" s="10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46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</row>
    <row r="559" spans="1:40" ht="60" customHeight="1">
      <c r="A559" s="14"/>
      <c r="B559" s="11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46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</row>
    <row r="560" spans="1:40" ht="60" customHeight="1">
      <c r="A560" s="13"/>
      <c r="B560" s="10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46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</row>
    <row r="561" spans="1:40" ht="60" customHeight="1">
      <c r="A561" s="14"/>
      <c r="B561" s="1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46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</row>
    <row r="562" spans="1:40" ht="60" customHeight="1">
      <c r="A562" s="13"/>
      <c r="B562" s="10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46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</row>
    <row r="563" spans="1:40" ht="60" customHeight="1">
      <c r="A563" s="14"/>
      <c r="B563" s="11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46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</row>
    <row r="564" spans="1:40" ht="60" customHeight="1">
      <c r="A564" s="13"/>
      <c r="B564" s="10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46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</row>
    <row r="565" spans="1:40" ht="60" customHeight="1">
      <c r="A565" s="14"/>
      <c r="B565" s="1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46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</row>
    <row r="566" spans="1:40" ht="60" customHeight="1">
      <c r="A566" s="13"/>
      <c r="B566" s="10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46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</row>
    <row r="567" spans="1:40" ht="60" customHeight="1">
      <c r="A567" s="14"/>
      <c r="B567" s="1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30"/>
      <c r="T567" s="46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</row>
    <row r="568" spans="1:40" ht="60" customHeight="1">
      <c r="A568" s="13"/>
      <c r="B568" s="10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46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</row>
    <row r="569" spans="1:40" ht="60" customHeight="1">
      <c r="A569" s="14"/>
      <c r="B569" s="1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46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</row>
    <row r="570" spans="1:40" ht="60" customHeight="1">
      <c r="A570" s="13"/>
      <c r="B570" s="10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46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</row>
    <row r="571" spans="1:40" ht="60" customHeight="1">
      <c r="A571" s="14"/>
      <c r="B571" s="11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46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</row>
    <row r="572" spans="1:40" ht="60" customHeight="1">
      <c r="A572" s="13"/>
      <c r="B572" s="10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46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</row>
    <row r="573" spans="1:40" ht="60" customHeight="1">
      <c r="A573" s="14"/>
      <c r="B573" s="1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46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</row>
    <row r="574" spans="1:40" ht="60" customHeight="1">
      <c r="A574" s="13"/>
      <c r="B574" s="10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46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</row>
    <row r="575" spans="1:40" ht="60" customHeight="1">
      <c r="A575" s="14"/>
      <c r="B575" s="1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46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</row>
    <row r="576" spans="1:40" ht="60" customHeight="1">
      <c r="A576" s="13"/>
      <c r="B576" s="10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46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</row>
    <row r="577" spans="1:40" ht="60" customHeight="1">
      <c r="A577" s="14"/>
      <c r="B577" s="11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46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</row>
    <row r="578" spans="1:40" ht="60" customHeight="1">
      <c r="A578" s="13"/>
      <c r="B578" s="10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46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</row>
    <row r="579" spans="1:40" ht="60" customHeight="1">
      <c r="A579" s="14"/>
      <c r="B579" s="1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46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</row>
    <row r="580" spans="1:40" ht="60" customHeight="1">
      <c r="A580" s="13"/>
      <c r="B580" s="10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46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</row>
    <row r="581" spans="1:40" ht="60" customHeight="1">
      <c r="A581" s="14"/>
      <c r="B581" s="1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46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</row>
    <row r="582" spans="1:40" ht="60" customHeight="1">
      <c r="A582" s="13"/>
      <c r="B582" s="10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46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</row>
    <row r="583" spans="1:40" ht="60" customHeight="1">
      <c r="A583" s="14"/>
      <c r="B583" s="11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46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</row>
    <row r="584" spans="1:40" ht="60" customHeight="1">
      <c r="A584" s="13"/>
      <c r="B584" s="10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46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</row>
    <row r="585" spans="1:40" ht="60" customHeight="1">
      <c r="A585" s="14"/>
      <c r="B585" s="11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46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</row>
    <row r="586" spans="1:40" ht="60" customHeight="1">
      <c r="A586" s="13"/>
      <c r="B586" s="10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46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</row>
    <row r="587" spans="1:40" ht="60" customHeight="1">
      <c r="A587" s="14"/>
      <c r="B587" s="11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46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</row>
    <row r="588" spans="1:40" ht="60" customHeight="1">
      <c r="A588" s="13"/>
      <c r="B588" s="10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46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</row>
    <row r="589" spans="1:40" ht="60" customHeight="1">
      <c r="A589" s="14"/>
      <c r="B589" s="11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46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</row>
    <row r="590" spans="1:40" ht="60" customHeight="1">
      <c r="A590" s="13"/>
      <c r="B590" s="10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46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</row>
    <row r="591" spans="1:40" ht="60" customHeight="1">
      <c r="A591" s="14"/>
      <c r="B591" s="1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46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</row>
    <row r="592" spans="1:40" ht="60" customHeight="1">
      <c r="A592" s="13"/>
      <c r="B592" s="10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46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</row>
    <row r="593" spans="1:40" ht="60" customHeight="1">
      <c r="A593" s="14"/>
      <c r="B593" s="1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46"/>
      <c r="U593" s="5" t="s">
        <v>26</v>
      </c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</row>
    <row r="594" spans="1:40" ht="60" customHeight="1">
      <c r="A594" s="13"/>
      <c r="B594" s="10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46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</row>
    <row r="595" spans="1:40" ht="60" customHeight="1">
      <c r="A595" s="14"/>
      <c r="B595" s="11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46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</row>
    <row r="596" spans="1:40" ht="60" customHeight="1">
      <c r="A596" s="13"/>
      <c r="B596" s="10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46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</row>
    <row r="597" spans="1:40" ht="60" customHeight="1">
      <c r="A597" s="14"/>
      <c r="B597" s="11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46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</row>
    <row r="598" spans="1:40" ht="60" customHeight="1">
      <c r="A598" s="13"/>
      <c r="B598" s="10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46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</row>
    <row r="599" spans="1:40" ht="60" customHeight="1">
      <c r="A599" s="14"/>
      <c r="B599" s="11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46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</row>
    <row r="600" spans="1:40" ht="60" customHeight="1">
      <c r="A600" s="13"/>
      <c r="B600" s="10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46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</row>
    <row r="601" spans="1:40" ht="60" customHeight="1">
      <c r="A601" s="14"/>
      <c r="B601" s="1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46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</row>
    <row r="602" spans="1:40" ht="60" customHeight="1">
      <c r="A602" s="13"/>
      <c r="B602" s="10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46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</row>
    <row r="603" spans="1:40" ht="60" customHeight="1">
      <c r="A603" s="14"/>
      <c r="B603" s="1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30"/>
      <c r="T603" s="46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</row>
    <row r="604" spans="1:40" ht="60" customHeight="1">
      <c r="A604" s="13"/>
      <c r="B604" s="10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46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</row>
    <row r="605" spans="1:40" ht="60" customHeight="1">
      <c r="A605" s="14"/>
      <c r="B605" s="11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46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</row>
    <row r="606" spans="1:40" ht="60" customHeight="1">
      <c r="A606" s="13"/>
      <c r="B606" s="10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46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</row>
    <row r="607" spans="1:40" ht="60" customHeight="1">
      <c r="A607" s="14"/>
      <c r="B607" s="11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46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</row>
    <row r="608" spans="1:40" ht="60" customHeight="1">
      <c r="A608" s="13"/>
      <c r="B608" s="10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46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</row>
    <row r="609" spans="1:40" ht="60" customHeight="1">
      <c r="A609" s="14"/>
      <c r="B609" s="1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30"/>
      <c r="T609" s="46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</row>
    <row r="610" spans="1:40" ht="60" customHeight="1">
      <c r="A610" s="13"/>
      <c r="B610" s="10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46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</row>
    <row r="611" spans="1:40" ht="60" customHeight="1">
      <c r="A611" s="14"/>
      <c r="B611" s="11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46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</row>
    <row r="612" spans="1:40" ht="60" customHeight="1">
      <c r="A612" s="13"/>
      <c r="B612" s="10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46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</row>
    <row r="613" spans="1:40" ht="60" customHeight="1">
      <c r="A613" s="14"/>
      <c r="B613" s="11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46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</row>
    <row r="614" spans="1:40" ht="60" customHeight="1">
      <c r="A614" s="13"/>
      <c r="B614" s="10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46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</row>
    <row r="615" spans="1:40" ht="60" customHeight="1">
      <c r="A615" s="14"/>
      <c r="B615" s="1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30"/>
      <c r="T615" s="46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</row>
    <row r="616" spans="1:40" ht="60" customHeight="1">
      <c r="A616" s="13"/>
      <c r="B616" s="10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46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</row>
    <row r="617" spans="1:40" ht="60" customHeight="1">
      <c r="A617" s="14"/>
      <c r="B617" s="11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46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</row>
    <row r="618" spans="1:40" ht="60" customHeight="1">
      <c r="A618" s="13"/>
      <c r="B618" s="10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46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</row>
    <row r="619" spans="1:40" ht="60" customHeight="1">
      <c r="A619" s="14"/>
      <c r="B619" s="11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46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</row>
    <row r="620" spans="1:40" ht="60" customHeight="1">
      <c r="A620" s="13"/>
      <c r="B620" s="10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46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</row>
    <row r="621" spans="1:40" ht="60" customHeight="1">
      <c r="A621" s="14"/>
      <c r="B621" s="11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46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</row>
    <row r="622" spans="1:40" ht="60" customHeight="1">
      <c r="A622" s="13"/>
      <c r="B622" s="10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46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</row>
    <row r="623" spans="1:40" ht="60" customHeight="1">
      <c r="A623" s="14"/>
      <c r="B623" s="11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46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</row>
    <row r="624" spans="1:40" ht="60" customHeight="1">
      <c r="A624" s="13"/>
      <c r="B624" s="10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46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</row>
    <row r="625" spans="1:40" ht="60" customHeight="1">
      <c r="A625" s="14"/>
      <c r="B625" s="11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46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</row>
    <row r="626" spans="1:40" ht="60" customHeight="1">
      <c r="A626" s="13"/>
      <c r="B626" s="10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46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</row>
    <row r="627" spans="1:40" ht="60" customHeight="1">
      <c r="A627" s="14"/>
      <c r="B627" s="11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46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</row>
    <row r="628" spans="1:40" ht="60" customHeight="1">
      <c r="A628" s="13"/>
      <c r="B628" s="10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46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</row>
    <row r="629" spans="1:40" ht="60" customHeight="1">
      <c r="A629" s="14"/>
      <c r="B629" s="1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30"/>
      <c r="T629" s="46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</row>
    <row r="630" spans="1:40" ht="60" customHeight="1">
      <c r="A630" s="13"/>
      <c r="B630" s="10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46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</row>
    <row r="631" spans="1:40" ht="60" customHeight="1">
      <c r="A631" s="14"/>
      <c r="B631" s="11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46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</row>
    <row r="632" spans="1:40" ht="60" customHeight="1">
      <c r="A632" s="13"/>
      <c r="B632" s="10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46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</row>
    <row r="633" spans="1:40" ht="60" customHeight="1">
      <c r="A633" s="14"/>
      <c r="B633" s="11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46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</row>
    <row r="634" spans="1:40" ht="60" customHeight="1">
      <c r="A634" s="13"/>
      <c r="B634" s="10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46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</row>
    <row r="635" spans="1:40" ht="60" customHeight="1">
      <c r="A635" s="14"/>
      <c r="B635" s="1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46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</row>
    <row r="636" spans="1:40" ht="60" customHeight="1">
      <c r="A636" s="13"/>
      <c r="B636" s="10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46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</row>
    <row r="637" spans="1:40" ht="60" customHeight="1">
      <c r="A637" s="14"/>
      <c r="B637" s="1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46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</row>
    <row r="638" spans="1:40" ht="60" customHeight="1">
      <c r="A638" s="13"/>
      <c r="B638" s="10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46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</row>
    <row r="639" spans="1:40" ht="60" customHeight="1">
      <c r="A639" s="14"/>
      <c r="B639" s="11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46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</row>
    <row r="640" spans="1:40" ht="60" customHeight="1">
      <c r="A640" s="13"/>
      <c r="B640" s="10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46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</row>
    <row r="641" spans="1:40" ht="60" customHeight="1">
      <c r="A641" s="14"/>
      <c r="B641" s="11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46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</row>
    <row r="642" spans="1:40" ht="60" customHeight="1">
      <c r="A642" s="13"/>
      <c r="B642" s="10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46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</row>
    <row r="643" spans="1:40" ht="60" customHeight="1">
      <c r="A643" s="14"/>
      <c r="B643" s="1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46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</row>
    <row r="644" spans="1:40" ht="60" customHeight="1">
      <c r="A644" s="13"/>
      <c r="B644" s="10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46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</row>
    <row r="645" spans="1:40" ht="60" customHeight="1">
      <c r="A645" s="14"/>
      <c r="B645" s="1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46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</row>
    <row r="646" spans="1:40" ht="60" customHeight="1">
      <c r="A646" s="13"/>
      <c r="B646" s="10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46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</row>
    <row r="647" spans="1:40" ht="60" customHeight="1">
      <c r="A647" s="14"/>
      <c r="B647" s="1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46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</row>
    <row r="648" spans="1:40" ht="60" customHeight="1">
      <c r="A648" s="13"/>
      <c r="B648" s="10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46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</row>
    <row r="649" spans="1:40" ht="60" customHeight="1">
      <c r="A649" s="14"/>
      <c r="B649" s="1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46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</row>
    <row r="650" spans="1:40" ht="60" customHeight="1">
      <c r="A650" s="13"/>
      <c r="B650" s="10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46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</row>
    <row r="651" spans="1:40" ht="60" customHeight="1">
      <c r="A651" s="14"/>
      <c r="B651" s="1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46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</row>
    <row r="652" spans="1:40" ht="60" customHeight="1">
      <c r="A652" s="13"/>
      <c r="B652" s="10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46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</row>
    <row r="653" spans="1:40" ht="60" customHeight="1">
      <c r="A653" s="14"/>
      <c r="B653" s="11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46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</row>
    <row r="654" spans="1:40" ht="60" customHeight="1">
      <c r="A654" s="13"/>
      <c r="B654" s="10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46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</row>
    <row r="655" spans="1:40" ht="60" customHeight="1">
      <c r="A655" s="14"/>
      <c r="B655" s="1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46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</row>
    <row r="656" spans="1:40" ht="60" customHeight="1">
      <c r="A656" s="13"/>
      <c r="B656" s="10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46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</row>
    <row r="657" spans="1:40" ht="60" customHeight="1">
      <c r="A657" s="14"/>
      <c r="B657" s="11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46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</row>
    <row r="658" spans="1:40" ht="60" customHeight="1">
      <c r="A658" s="13"/>
      <c r="B658" s="10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46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</row>
    <row r="659" spans="1:40" ht="60" customHeight="1">
      <c r="A659" s="14"/>
      <c r="B659" s="1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46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</row>
    <row r="660" spans="1:40" ht="60" customHeight="1">
      <c r="A660" s="13"/>
      <c r="B660" s="10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46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</row>
    <row r="661" spans="1:40" ht="60" customHeight="1">
      <c r="A661" s="14"/>
      <c r="B661" s="11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46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</row>
    <row r="662" spans="1:40" ht="60" customHeight="1">
      <c r="A662" s="13"/>
      <c r="B662" s="10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46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</row>
    <row r="663" spans="1:40" ht="60" customHeight="1">
      <c r="A663" s="14"/>
      <c r="B663" s="1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46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</row>
    <row r="664" spans="1:40" ht="60" customHeight="1">
      <c r="A664" s="13"/>
      <c r="B664" s="10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46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</row>
    <row r="665" spans="1:40" ht="60" customHeight="1">
      <c r="A665" s="14"/>
      <c r="B665" s="1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30"/>
      <c r="T665" s="46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</row>
    <row r="666" spans="1:40" ht="60" customHeight="1">
      <c r="A666" s="13"/>
      <c r="B666" s="10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46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</row>
    <row r="667" spans="1:40" ht="60" customHeight="1">
      <c r="A667" s="14"/>
      <c r="B667" s="1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46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</row>
    <row r="668" spans="1:40" ht="60" customHeight="1">
      <c r="A668" s="13"/>
      <c r="B668" s="10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46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</row>
    <row r="669" spans="1:40" ht="60" customHeight="1">
      <c r="A669" s="14"/>
      <c r="B669" s="11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46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</row>
    <row r="670" spans="1:40" ht="60" customHeight="1">
      <c r="A670" s="13"/>
      <c r="B670" s="10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46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</row>
    <row r="671" spans="1:40" ht="60" customHeight="1">
      <c r="A671" s="14"/>
      <c r="B671" s="1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46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</row>
    <row r="672" spans="1:40" ht="60" customHeight="1">
      <c r="A672" s="13"/>
      <c r="B672" s="10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46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</row>
    <row r="673" spans="1:40" ht="60" customHeight="1">
      <c r="A673" s="14"/>
      <c r="B673" s="1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46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</row>
    <row r="674" spans="1:40" ht="60" customHeight="1">
      <c r="A674" s="13"/>
      <c r="B674" s="10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46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</row>
    <row r="675" spans="1:40" ht="60" customHeight="1">
      <c r="A675" s="14"/>
      <c r="B675" s="11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46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</row>
    <row r="676" spans="1:40" ht="60" customHeight="1">
      <c r="A676" s="13"/>
      <c r="B676" s="10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46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</row>
    <row r="677" spans="1:40" ht="60" customHeight="1">
      <c r="A677" s="14"/>
      <c r="B677" s="1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46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</row>
    <row r="678" spans="1:40" ht="60" customHeight="1">
      <c r="A678" s="13"/>
      <c r="B678" s="10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46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</row>
    <row r="679" spans="1:40" ht="60" customHeight="1">
      <c r="A679" s="14"/>
      <c r="B679" s="1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46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</row>
    <row r="680" spans="1:40" ht="60" customHeight="1">
      <c r="A680" s="13"/>
      <c r="B680" s="10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46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</row>
    <row r="681" spans="1:40" ht="60" customHeight="1">
      <c r="A681" s="14"/>
      <c r="B681" s="11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46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</row>
    <row r="682" spans="1:40" ht="60" customHeight="1">
      <c r="A682" s="13"/>
      <c r="B682" s="10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46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</row>
    <row r="683" spans="1:40" ht="60" customHeight="1">
      <c r="A683" s="14"/>
      <c r="B683" s="11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46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</row>
    <row r="684" spans="1:40" ht="60" customHeight="1">
      <c r="A684" s="13"/>
      <c r="B684" s="10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46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</row>
    <row r="685" spans="1:40" ht="60" customHeight="1">
      <c r="A685" s="14"/>
      <c r="B685" s="11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46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</row>
    <row r="686" spans="1:40" ht="60" customHeight="1">
      <c r="A686" s="13"/>
      <c r="B686" s="10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46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</row>
    <row r="687" spans="1:40" ht="60" customHeight="1">
      <c r="A687" s="14"/>
      <c r="B687" s="11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46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</row>
    <row r="688" spans="1:40" ht="60" customHeight="1">
      <c r="A688" s="13"/>
      <c r="B688" s="10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46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</row>
    <row r="689" spans="1:40" ht="60" customHeight="1">
      <c r="A689" s="14"/>
      <c r="B689" s="1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46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</row>
    <row r="690" spans="1:40" ht="60" customHeight="1">
      <c r="A690" s="13"/>
      <c r="B690" s="10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46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</row>
    <row r="691" spans="1:40" ht="60" customHeight="1">
      <c r="A691" s="14"/>
      <c r="B691" s="1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46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</row>
    <row r="692" spans="1:40" ht="60" customHeight="1">
      <c r="A692" s="13"/>
      <c r="B692" s="10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46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</row>
    <row r="693" spans="1:40" ht="60" customHeight="1">
      <c r="A693" s="14"/>
      <c r="B693" s="11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46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</row>
    <row r="694" spans="1:40" ht="60" customHeight="1">
      <c r="A694" s="13"/>
      <c r="B694" s="10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46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</row>
    <row r="695" spans="1:40" ht="60" customHeight="1">
      <c r="A695" s="14"/>
      <c r="B695" s="11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46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</row>
    <row r="696" spans="1:40" ht="60" customHeight="1">
      <c r="A696" s="13"/>
      <c r="B696" s="10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46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</row>
    <row r="697" spans="1:40" ht="60" customHeight="1">
      <c r="A697" s="14"/>
      <c r="B697" s="11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46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</row>
    <row r="698" spans="1:40" ht="60" customHeight="1">
      <c r="A698" s="13"/>
      <c r="B698" s="10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46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</row>
    <row r="699" spans="1:40" ht="60" customHeight="1">
      <c r="A699" s="14"/>
      <c r="B699" s="1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46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</row>
    <row r="700" spans="1:40" ht="60" customHeight="1">
      <c r="A700" s="13"/>
      <c r="B700" s="10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46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</row>
    <row r="701" spans="1:40" ht="60" customHeight="1">
      <c r="A701" s="14"/>
      <c r="B701" s="1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30"/>
      <c r="T701" s="46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</row>
    <row r="702" spans="1:40" ht="60" customHeight="1">
      <c r="A702" s="13"/>
      <c r="B702" s="10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46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</row>
    <row r="703" spans="1:40" ht="60" customHeight="1">
      <c r="A703" s="14"/>
      <c r="B703" s="11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46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</row>
    <row r="704" spans="1:40" ht="60" customHeight="1">
      <c r="A704" s="13"/>
      <c r="B704" s="10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46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</row>
    <row r="705" spans="1:40" ht="60" customHeight="1">
      <c r="A705" s="14"/>
      <c r="B705" s="11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46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</row>
    <row r="706" spans="1:40" ht="60" customHeight="1">
      <c r="A706" s="13"/>
      <c r="B706" s="10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46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</row>
    <row r="707" spans="1:40" ht="60" customHeight="1">
      <c r="A707" s="14"/>
      <c r="B707" s="1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30"/>
      <c r="T707" s="46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</row>
    <row r="708" spans="1:40" ht="60" customHeight="1">
      <c r="A708" s="13"/>
      <c r="B708" s="10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46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</row>
    <row r="709" spans="1:40" ht="60" customHeight="1">
      <c r="A709" s="14"/>
      <c r="B709" s="11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46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</row>
    <row r="710" spans="1:40" ht="60" customHeight="1">
      <c r="A710" s="13"/>
      <c r="B710" s="10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46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</row>
    <row r="711" spans="1:40" ht="60" customHeight="1">
      <c r="A711" s="14"/>
      <c r="B711" s="11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46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</row>
    <row r="712" spans="1:40" ht="60" customHeight="1">
      <c r="A712" s="13"/>
      <c r="B712" s="10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46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</row>
    <row r="713" spans="1:40" ht="60" customHeight="1">
      <c r="A713" s="14"/>
      <c r="B713" s="1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30"/>
      <c r="T713" s="46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</row>
    <row r="714" spans="1:40" ht="60" customHeight="1">
      <c r="A714" s="13"/>
      <c r="B714" s="10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46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</row>
    <row r="715" spans="1:40" ht="60" customHeight="1">
      <c r="A715" s="14"/>
      <c r="B715" s="11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46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</row>
    <row r="716" spans="1:40" ht="60" customHeight="1">
      <c r="A716" s="13"/>
      <c r="B716" s="10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46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</row>
    <row r="717" spans="1:40" ht="60" customHeight="1">
      <c r="A717" s="14"/>
      <c r="B717" s="11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46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</row>
    <row r="718" spans="1:40" ht="60" customHeight="1">
      <c r="A718" s="13"/>
      <c r="B718" s="10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46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</row>
    <row r="719" spans="1:40" ht="60" customHeight="1">
      <c r="A719" s="14"/>
      <c r="B719" s="11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46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</row>
    <row r="720" spans="1:40" ht="60" customHeight="1">
      <c r="A720" s="13"/>
      <c r="B720" s="10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46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</row>
    <row r="721" spans="1:40" ht="60" customHeight="1">
      <c r="A721" s="14"/>
      <c r="B721" s="11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46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</row>
    <row r="722" spans="1:40" ht="60" customHeight="1">
      <c r="A722" s="13"/>
      <c r="B722" s="10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46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</row>
    <row r="723" spans="1:40" ht="60" customHeight="1">
      <c r="A723" s="14"/>
      <c r="B723" s="11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46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</row>
    <row r="724" spans="1:40" ht="60" customHeight="1">
      <c r="A724" s="13"/>
      <c r="B724" s="10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46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</row>
    <row r="725" spans="1:40" ht="60" customHeight="1">
      <c r="A725" s="14"/>
      <c r="B725" s="11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46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</row>
    <row r="726" spans="1:40" ht="60" customHeight="1">
      <c r="A726" s="13"/>
      <c r="B726" s="10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46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</row>
    <row r="727" spans="1:40" ht="60" customHeight="1">
      <c r="A727" s="14"/>
      <c r="B727" s="1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30"/>
      <c r="T727" s="46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</row>
    <row r="728" spans="1:40" ht="60" customHeight="1">
      <c r="A728" s="13"/>
      <c r="B728" s="10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46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</row>
    <row r="729" spans="1:40" ht="60" customHeight="1">
      <c r="A729" s="14"/>
      <c r="B729" s="11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46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</row>
    <row r="730" spans="1:40" ht="60" customHeight="1">
      <c r="A730" s="13"/>
      <c r="B730" s="10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46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</row>
    <row r="731" spans="1:40" ht="60" customHeight="1">
      <c r="A731" s="14"/>
      <c r="B731" s="11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46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</row>
    <row r="732" spans="1:40" ht="60" customHeight="1">
      <c r="A732" s="13"/>
      <c r="B732" s="10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46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</row>
    <row r="733" spans="1:40" ht="60" customHeight="1">
      <c r="A733" s="14"/>
      <c r="B733" s="1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46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</row>
    <row r="734" spans="1:40" ht="60" customHeight="1">
      <c r="A734" s="13"/>
      <c r="B734" s="10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46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</row>
    <row r="735" spans="1:40" ht="60" customHeight="1">
      <c r="A735" s="14"/>
      <c r="B735" s="1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46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</row>
    <row r="736" spans="1:40" ht="60" customHeight="1">
      <c r="A736" s="13"/>
      <c r="B736" s="10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46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</row>
    <row r="737" spans="1:40" ht="60" customHeight="1">
      <c r="A737" s="14"/>
      <c r="B737" s="11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46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</row>
    <row r="738" spans="1:40" ht="60" customHeight="1">
      <c r="A738" s="13"/>
      <c r="B738" s="10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46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</row>
    <row r="739" spans="1:40" ht="60" customHeight="1">
      <c r="A739" s="14"/>
      <c r="B739" s="11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46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</row>
    <row r="740" spans="1:40" ht="60" customHeight="1">
      <c r="A740" s="13"/>
      <c r="B740" s="10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46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</row>
    <row r="741" spans="1:40" ht="60" customHeight="1">
      <c r="A741" s="14"/>
      <c r="B741" s="1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46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</row>
    <row r="742" spans="1:40" ht="60" customHeight="1">
      <c r="A742" s="13"/>
      <c r="B742" s="10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46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</row>
    <row r="743" spans="1:40" ht="60" customHeight="1">
      <c r="A743" s="14"/>
      <c r="B743" s="1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46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</row>
    <row r="744" spans="1:40" ht="60" customHeight="1">
      <c r="A744" s="13"/>
      <c r="B744" s="10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46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</row>
    <row r="745" spans="1:40" ht="60" customHeight="1">
      <c r="A745" s="14"/>
      <c r="B745" s="1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46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</row>
    <row r="746" spans="1:40" ht="60" customHeight="1">
      <c r="A746" s="13"/>
      <c r="B746" s="10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46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</row>
    <row r="747" spans="1:40" ht="60" customHeight="1">
      <c r="A747" s="14"/>
      <c r="B747" s="1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46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</row>
    <row r="748" spans="1:40" ht="60" customHeight="1">
      <c r="A748" s="13"/>
      <c r="B748" s="10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46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</row>
    <row r="749" spans="1:40" ht="60" customHeight="1">
      <c r="A749" s="14"/>
      <c r="B749" s="1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46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</row>
    <row r="750" spans="1:40" ht="60" customHeight="1">
      <c r="A750" s="13"/>
      <c r="B750" s="10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46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</row>
    <row r="751" spans="1:40" ht="60" customHeight="1">
      <c r="A751" s="14"/>
      <c r="B751" s="11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46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</row>
    <row r="752" spans="1:40" ht="60" customHeight="1">
      <c r="A752" s="13"/>
      <c r="B752" s="10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46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</row>
    <row r="753" spans="1:40" ht="60" customHeight="1">
      <c r="A753" s="14"/>
      <c r="B753" s="1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46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</row>
    <row r="754" spans="1:40" ht="60" customHeight="1">
      <c r="A754" s="13"/>
      <c r="B754" s="10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46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</row>
    <row r="755" spans="1:40" ht="60" customHeight="1">
      <c r="A755" s="14"/>
      <c r="B755" s="11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46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</row>
    <row r="756" spans="1:40" ht="60" customHeight="1">
      <c r="A756" s="13"/>
      <c r="B756" s="10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46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</row>
    <row r="757" spans="1:40" ht="60" customHeight="1">
      <c r="A757" s="14"/>
      <c r="B757" s="1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46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</row>
    <row r="758" spans="1:40" ht="60" customHeight="1">
      <c r="A758" s="13"/>
      <c r="B758" s="10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46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</row>
    <row r="759" spans="1:40" ht="60" customHeight="1">
      <c r="A759" s="14"/>
      <c r="B759" s="11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46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</row>
    <row r="760" spans="1:40" ht="60" customHeight="1">
      <c r="A760" s="13"/>
      <c r="B760" s="10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46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</row>
    <row r="761" spans="1:40" ht="60" customHeight="1">
      <c r="A761" s="14"/>
      <c r="B761" s="1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46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</row>
    <row r="762" spans="1:40" ht="60" customHeight="1">
      <c r="A762" s="13"/>
      <c r="B762" s="10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46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</row>
    <row r="763" spans="1:40" ht="60" customHeight="1">
      <c r="A763" s="14"/>
      <c r="B763" s="1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30"/>
      <c r="T763" s="46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</row>
    <row r="764" spans="1:40" ht="60" customHeight="1">
      <c r="A764" s="13"/>
      <c r="B764" s="10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46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</row>
    <row r="765" spans="1:40" ht="60" customHeight="1">
      <c r="A765" s="14"/>
      <c r="B765" s="1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46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</row>
    <row r="766" spans="1:40" ht="60" customHeight="1">
      <c r="A766" s="13"/>
      <c r="B766" s="10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46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</row>
    <row r="767" spans="1:40" ht="60" customHeight="1">
      <c r="A767" s="14"/>
      <c r="B767" s="11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46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</row>
    <row r="768" spans="1:40" ht="60" customHeight="1">
      <c r="A768" s="13"/>
      <c r="B768" s="10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46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</row>
    <row r="769" spans="1:40" ht="60" customHeight="1">
      <c r="A769" s="14"/>
      <c r="B769" s="1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46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</row>
    <row r="770" spans="1:40" ht="60" customHeight="1">
      <c r="A770" s="13"/>
      <c r="B770" s="10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46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</row>
    <row r="771" spans="1:40" ht="60" customHeight="1">
      <c r="A771" s="14"/>
      <c r="B771" s="1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46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</row>
    <row r="772" spans="1:40" ht="60" customHeight="1">
      <c r="A772" s="13"/>
      <c r="B772" s="10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46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</row>
    <row r="773" spans="1:40" ht="60" customHeight="1">
      <c r="A773" s="14"/>
      <c r="B773" s="11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46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</row>
    <row r="774" spans="1:40" ht="60" customHeight="1">
      <c r="A774" s="13"/>
      <c r="B774" s="10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46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</row>
    <row r="775" spans="1:40" ht="60" customHeight="1">
      <c r="A775" s="14"/>
      <c r="B775" s="1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46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</row>
    <row r="776" spans="1:40" ht="60" customHeight="1">
      <c r="A776" s="13"/>
      <c r="B776" s="10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46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</row>
    <row r="777" spans="1:40" ht="60" customHeight="1">
      <c r="A777" s="14"/>
      <c r="B777" s="1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46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</row>
    <row r="778" spans="1:40" ht="60" customHeight="1">
      <c r="A778" s="13"/>
      <c r="B778" s="10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46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</row>
    <row r="779" spans="1:40" ht="60" customHeight="1">
      <c r="A779" s="14"/>
      <c r="B779" s="11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46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</row>
    <row r="780" spans="1:40" ht="60" customHeight="1">
      <c r="A780" s="13"/>
      <c r="B780" s="10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46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</row>
    <row r="781" spans="1:40" ht="60" customHeight="1">
      <c r="A781" s="14"/>
      <c r="B781" s="11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46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</row>
    <row r="782" spans="1:40" ht="60" customHeight="1">
      <c r="A782" s="13"/>
      <c r="B782" s="10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46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</row>
    <row r="783" spans="1:40" ht="60" customHeight="1">
      <c r="A783" s="14"/>
      <c r="B783" s="11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46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</row>
    <row r="784" spans="1:40" ht="60" customHeight="1">
      <c r="A784" s="13"/>
      <c r="B784" s="10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46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</row>
    <row r="785" spans="1:40" ht="60" customHeight="1">
      <c r="A785" s="14"/>
      <c r="B785" s="11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46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</row>
    <row r="786" spans="1:40" ht="60" customHeight="1">
      <c r="A786" s="13"/>
      <c r="B786" s="10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46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</row>
    <row r="787" spans="1:40" ht="60" customHeight="1">
      <c r="A787" s="14"/>
      <c r="B787" s="1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46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</row>
    <row r="788" spans="1:40" ht="60" customHeight="1">
      <c r="A788" s="13"/>
      <c r="B788" s="10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46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</row>
    <row r="789" spans="1:40" ht="60" customHeight="1">
      <c r="A789" s="14"/>
      <c r="B789" s="1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46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</row>
    <row r="790" spans="1:40" ht="60" customHeight="1">
      <c r="A790" s="13"/>
      <c r="B790" s="10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46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</row>
    <row r="791" spans="1:40" ht="60" customHeight="1">
      <c r="A791" s="14"/>
      <c r="B791" s="11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46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</row>
    <row r="792" spans="1:40" ht="60" customHeight="1">
      <c r="A792" s="13"/>
      <c r="B792" s="10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46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</row>
    <row r="793" spans="1:40" ht="60" customHeight="1">
      <c r="A793" s="14"/>
      <c r="B793" s="11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46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</row>
    <row r="794" spans="1:40" ht="60" customHeight="1">
      <c r="A794" s="13"/>
      <c r="B794" s="10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46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</row>
    <row r="795" spans="1:40" ht="60" customHeight="1">
      <c r="A795" s="14"/>
      <c r="B795" s="11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46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</row>
    <row r="796" spans="1:40" ht="60" customHeight="1">
      <c r="A796" s="13"/>
      <c r="B796" s="10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46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</row>
    <row r="797" spans="1:40" ht="60" customHeight="1">
      <c r="A797" s="14"/>
      <c r="B797" s="1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46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</row>
    <row r="798" spans="1:40" ht="60" customHeight="1">
      <c r="A798" s="13"/>
      <c r="B798" s="10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46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</row>
    <row r="799" spans="1:40" ht="60" customHeight="1">
      <c r="A799" s="14"/>
      <c r="B799" s="1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30"/>
      <c r="T799" s="46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</row>
    <row r="800" spans="1:40" ht="60" customHeight="1">
      <c r="A800" s="13"/>
      <c r="B800" s="10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46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</row>
    <row r="801" spans="1:40" ht="60" customHeight="1">
      <c r="A801" s="14"/>
      <c r="B801" s="11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46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</row>
    <row r="802" spans="1:40" ht="60" customHeight="1">
      <c r="A802" s="13"/>
      <c r="B802" s="10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46"/>
      <c r="U802" s="5" t="s">
        <v>26</v>
      </c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</row>
    <row r="803" spans="1:40" ht="60" customHeight="1">
      <c r="A803" s="14"/>
      <c r="B803" s="11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46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</row>
    <row r="804" spans="1:40" ht="60" customHeight="1">
      <c r="A804" s="13"/>
      <c r="B804" s="10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46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</row>
    <row r="805" spans="1:40" ht="60" customHeight="1">
      <c r="A805" s="14"/>
      <c r="B805" s="1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30"/>
      <c r="T805" s="46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</row>
    <row r="806" spans="1:40" ht="60" customHeight="1">
      <c r="A806" s="13"/>
      <c r="B806" s="10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46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</row>
    <row r="807" spans="1:40" ht="60" customHeight="1">
      <c r="A807" s="14"/>
      <c r="B807" s="11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46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</row>
    <row r="808" spans="1:40" ht="60" customHeight="1">
      <c r="A808" s="13"/>
      <c r="B808" s="10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46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</row>
    <row r="809" spans="1:40" ht="60" customHeight="1">
      <c r="A809" s="14"/>
      <c r="B809" s="11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46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</row>
    <row r="810" spans="1:40" ht="60" customHeight="1">
      <c r="A810" s="13"/>
      <c r="B810" s="10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46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</row>
    <row r="811" spans="1:40" ht="60" customHeight="1">
      <c r="A811" s="14"/>
      <c r="B811" s="1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30"/>
      <c r="T811" s="46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</row>
    <row r="812" spans="1:40" ht="60" customHeight="1">
      <c r="A812" s="13"/>
      <c r="B812" s="10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46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</row>
    <row r="813" spans="1:40" ht="60" customHeight="1">
      <c r="A813" s="14"/>
      <c r="B813" s="11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46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</row>
    <row r="814" spans="1:40" ht="60" customHeight="1">
      <c r="A814" s="13"/>
      <c r="B814" s="10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46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</row>
    <row r="815" spans="1:40" ht="60" customHeight="1">
      <c r="A815" s="14"/>
      <c r="B815" s="11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46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</row>
    <row r="816" spans="1:40" ht="60" customHeight="1">
      <c r="A816" s="13"/>
      <c r="B816" s="10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46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</row>
    <row r="817" spans="1:40" ht="60" customHeight="1">
      <c r="A817" s="14"/>
      <c r="B817" s="11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46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</row>
    <row r="818" spans="1:40" ht="60" customHeight="1">
      <c r="A818" s="13"/>
      <c r="B818" s="10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46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</row>
    <row r="819" spans="1:40" ht="60" customHeight="1">
      <c r="A819" s="14"/>
      <c r="B819" s="11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46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</row>
    <row r="820" spans="1:40" ht="60" customHeight="1">
      <c r="A820" s="13"/>
      <c r="B820" s="10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46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</row>
    <row r="821" spans="1:40" ht="60" customHeight="1">
      <c r="A821" s="14"/>
      <c r="B821" s="11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46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</row>
    <row r="822" spans="1:40" ht="60" customHeight="1">
      <c r="A822" s="13"/>
      <c r="B822" s="10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46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</row>
    <row r="823" spans="1:40" ht="60" customHeight="1">
      <c r="A823" s="14"/>
      <c r="B823" s="11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46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</row>
    <row r="824" spans="1:40" ht="60" customHeight="1">
      <c r="A824" s="13"/>
      <c r="B824" s="10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46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</row>
    <row r="825" spans="1:40" ht="60" customHeight="1">
      <c r="A825" s="14"/>
      <c r="B825" s="1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30"/>
      <c r="T825" s="46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</row>
    <row r="826" spans="1:40" ht="60" customHeight="1">
      <c r="A826" s="13"/>
      <c r="B826" s="10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46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</row>
    <row r="827" spans="1:40" ht="60" customHeight="1">
      <c r="A827" s="14"/>
      <c r="B827" s="11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46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</row>
    <row r="828" spans="1:40" ht="60" customHeight="1">
      <c r="A828" s="13"/>
      <c r="B828" s="10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46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</row>
    <row r="829" spans="1:40" ht="60" customHeight="1">
      <c r="A829" s="14"/>
      <c r="B829" s="11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46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</row>
    <row r="830" spans="1:40" ht="60" customHeight="1">
      <c r="A830" s="13"/>
      <c r="B830" s="10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46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</row>
    <row r="831" spans="1:40" ht="60" customHeight="1">
      <c r="A831" s="14"/>
      <c r="B831" s="1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46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</row>
    <row r="832" spans="1:40" ht="60" customHeight="1">
      <c r="A832" s="13"/>
      <c r="B832" s="10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46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</row>
    <row r="833" spans="1:40" ht="60" customHeight="1">
      <c r="A833" s="14"/>
      <c r="B833" s="1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46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</row>
    <row r="834" spans="1:40" ht="60" customHeight="1">
      <c r="A834" s="13"/>
      <c r="B834" s="10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46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</row>
    <row r="835" spans="1:40" ht="60" customHeight="1">
      <c r="A835" s="14"/>
      <c r="B835" s="11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46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</row>
    <row r="836" spans="1:40" ht="60" customHeight="1">
      <c r="A836" s="13"/>
      <c r="B836" s="10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46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</row>
    <row r="837" spans="1:40" ht="60" customHeight="1">
      <c r="A837" s="14"/>
      <c r="B837" s="11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46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</row>
    <row r="838" spans="1:40" ht="60" customHeight="1">
      <c r="A838" s="13"/>
      <c r="B838" s="10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46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</row>
    <row r="839" spans="1:40" ht="60" customHeight="1">
      <c r="A839" s="14"/>
      <c r="B839" s="1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46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</row>
    <row r="840" spans="1:40" ht="60" customHeight="1">
      <c r="A840" s="13"/>
      <c r="B840" s="10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46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</row>
    <row r="841" spans="1:40" ht="60" customHeight="1">
      <c r="A841" s="14"/>
      <c r="B841" s="1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46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</row>
    <row r="842" spans="1:40" ht="60" customHeight="1">
      <c r="A842" s="13"/>
      <c r="B842" s="10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46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</row>
    <row r="843" spans="1:40" ht="60" customHeight="1">
      <c r="A843" s="14"/>
      <c r="B843" s="1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46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</row>
    <row r="844" spans="1:40" ht="60" customHeight="1">
      <c r="A844" s="13"/>
      <c r="B844" s="10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46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</row>
    <row r="845" spans="1:40" ht="60" customHeight="1">
      <c r="A845" s="14"/>
      <c r="B845" s="1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46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</row>
    <row r="846" spans="1:40" ht="60" customHeight="1">
      <c r="A846" s="13"/>
      <c r="B846" s="10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46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</row>
    <row r="847" spans="1:40" ht="60" customHeight="1">
      <c r="A847" s="14"/>
      <c r="B847" s="1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46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</row>
    <row r="848" spans="1:40" ht="60" customHeight="1">
      <c r="A848" s="13"/>
      <c r="B848" s="10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46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</row>
    <row r="849" spans="1:40" ht="60" customHeight="1">
      <c r="A849" s="14"/>
      <c r="B849" s="11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46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</row>
    <row r="850" spans="1:40" ht="60" customHeight="1">
      <c r="A850" s="13"/>
      <c r="B850" s="10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46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</row>
    <row r="851" spans="1:40" ht="60" customHeight="1">
      <c r="A851" s="14"/>
      <c r="B851" s="1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46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</row>
    <row r="852" spans="1:40" ht="60" customHeight="1">
      <c r="A852" s="13"/>
      <c r="B852" s="10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46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</row>
    <row r="853" spans="1:40" ht="60" customHeight="1">
      <c r="A853" s="14"/>
      <c r="B853" s="11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46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</row>
    <row r="854" spans="1:40" ht="60" customHeight="1">
      <c r="A854" s="13"/>
      <c r="B854" s="10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46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</row>
    <row r="855" spans="1:40" ht="60" customHeight="1">
      <c r="A855" s="14"/>
      <c r="B855" s="1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46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</row>
    <row r="856" spans="1:40" ht="60" customHeight="1">
      <c r="A856" s="13"/>
      <c r="B856" s="10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46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</row>
    <row r="857" spans="1:40" ht="60" customHeight="1">
      <c r="A857" s="14"/>
      <c r="B857" s="11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46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</row>
    <row r="858" spans="1:40" ht="60" customHeight="1">
      <c r="A858" s="13"/>
      <c r="B858" s="10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46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</row>
    <row r="859" spans="1:40" ht="60" customHeight="1">
      <c r="A859" s="14"/>
      <c r="B859" s="1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46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</row>
    <row r="860" spans="1:40" ht="60" customHeight="1">
      <c r="A860" s="13"/>
      <c r="B860" s="10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46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</row>
    <row r="861" spans="1:40" ht="60" customHeight="1">
      <c r="A861" s="14"/>
      <c r="B861" s="1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30"/>
      <c r="T861" s="46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</row>
    <row r="862" spans="1:40" ht="60" customHeight="1">
      <c r="A862" s="13"/>
      <c r="B862" s="10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46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</row>
    <row r="863" spans="1:40" ht="60" customHeight="1">
      <c r="A863" s="14"/>
      <c r="B863" s="1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46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</row>
    <row r="864" spans="1:40" ht="60" customHeight="1">
      <c r="A864" s="13"/>
      <c r="B864" s="10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46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</row>
    <row r="865" spans="1:40" ht="60" customHeight="1">
      <c r="A865" s="14"/>
      <c r="B865" s="11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46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</row>
    <row r="866" spans="1:40" ht="60" customHeight="1">
      <c r="A866" s="13"/>
      <c r="B866" s="10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46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</row>
    <row r="867" spans="1:40" ht="60" customHeight="1">
      <c r="A867" s="14"/>
      <c r="B867" s="1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46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</row>
    <row r="868" spans="1:40" ht="60" customHeight="1">
      <c r="A868" s="13"/>
      <c r="B868" s="10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46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</row>
    <row r="869" spans="1:40" ht="60" customHeight="1">
      <c r="A869" s="14"/>
      <c r="B869" s="1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46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</row>
    <row r="870" spans="1:40" ht="60" customHeight="1">
      <c r="A870" s="13"/>
      <c r="B870" s="10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46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</row>
    <row r="871" spans="1:40" ht="60" customHeight="1">
      <c r="A871" s="14"/>
      <c r="B871" s="11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46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</row>
    <row r="872" spans="1:40" ht="60" customHeight="1">
      <c r="A872" s="13"/>
      <c r="B872" s="10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46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</row>
    <row r="873" spans="1:40" ht="60" customHeight="1">
      <c r="A873" s="14"/>
      <c r="B873" s="1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46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</row>
    <row r="874" spans="1:40" ht="60" customHeight="1">
      <c r="A874" s="13"/>
      <c r="B874" s="10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46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</row>
    <row r="875" spans="1:40" ht="60" customHeight="1">
      <c r="A875" s="14"/>
      <c r="B875" s="1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46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</row>
    <row r="876" spans="1:40" ht="60" customHeight="1">
      <c r="A876" s="13"/>
      <c r="B876" s="10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46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</row>
    <row r="877" spans="1:40" ht="60" customHeight="1">
      <c r="A877" s="14"/>
      <c r="B877" s="11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46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</row>
    <row r="878" spans="1:40" ht="60" customHeight="1">
      <c r="A878" s="13"/>
      <c r="B878" s="10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46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</row>
    <row r="879" spans="1:40" ht="60" customHeight="1">
      <c r="A879" s="14"/>
      <c r="B879" s="11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46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</row>
    <row r="880" spans="1:40" ht="60" customHeight="1">
      <c r="A880" s="13"/>
      <c r="B880" s="10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46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</row>
    <row r="881" spans="1:40" ht="60" customHeight="1">
      <c r="A881" s="14"/>
      <c r="B881" s="11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46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</row>
    <row r="882" spans="1:40" ht="60" customHeight="1">
      <c r="A882" s="13"/>
      <c r="B882" s="10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46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</row>
    <row r="883" spans="1:40" ht="60" customHeight="1">
      <c r="A883" s="14"/>
      <c r="B883" s="11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46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</row>
    <row r="884" spans="1:40" ht="60" customHeight="1">
      <c r="A884" s="13"/>
      <c r="B884" s="10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46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</row>
    <row r="885" spans="1:40" ht="60" customHeight="1">
      <c r="A885" s="14"/>
      <c r="B885" s="1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46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</row>
    <row r="886" spans="1:40" ht="60" customHeight="1">
      <c r="A886" s="13"/>
      <c r="B886" s="10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46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</row>
    <row r="887" spans="1:40" ht="60" customHeight="1">
      <c r="A887" s="14"/>
      <c r="B887" s="1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46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</row>
    <row r="888" spans="1:40" ht="60" customHeight="1">
      <c r="A888" s="13"/>
      <c r="B888" s="10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46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</row>
    <row r="889" spans="1:40">
      <c r="A889" s="14"/>
      <c r="B889" s="11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46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</row>
    <row r="890" spans="1:40">
      <c r="A890" s="13"/>
      <c r="B890" s="10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46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</row>
    <row r="891" spans="1:40">
      <c r="A891" s="14"/>
      <c r="B891" s="11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46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</row>
    <row r="892" spans="1:40">
      <c r="A892" s="13"/>
      <c r="B892" s="10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46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</row>
    <row r="893" spans="1:40">
      <c r="A893" s="14"/>
      <c r="B893" s="11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46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</row>
    <row r="894" spans="1:40">
      <c r="A894" s="13"/>
      <c r="B894" s="10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46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</row>
    <row r="895" spans="1:40">
      <c r="A895" s="14"/>
      <c r="B895" s="1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46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</row>
    <row r="896" spans="1:40">
      <c r="A896" s="13"/>
      <c r="B896" s="10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46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</row>
    <row r="897" spans="1:40">
      <c r="A897" s="14"/>
      <c r="B897" s="1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30"/>
      <c r="T897" s="46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</row>
    <row r="898" spans="1:40">
      <c r="A898" s="13"/>
      <c r="B898" s="10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46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</row>
    <row r="899" spans="1:40">
      <c r="A899" s="14"/>
      <c r="B899" s="11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46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</row>
    <row r="900" spans="1:40">
      <c r="A900" s="13"/>
      <c r="B900" s="10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46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</row>
    <row r="901" spans="1:40">
      <c r="A901" s="14"/>
      <c r="B901" s="11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46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</row>
    <row r="902" spans="1:40">
      <c r="A902" s="13"/>
      <c r="B902" s="10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46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</row>
    <row r="903" spans="1:40">
      <c r="A903" s="14"/>
      <c r="B903" s="1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30"/>
      <c r="T903" s="46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</row>
    <row r="904" spans="1:40">
      <c r="A904" s="13"/>
      <c r="B904" s="10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46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</row>
    <row r="905" spans="1:40">
      <c r="A905" s="14"/>
      <c r="B905" s="11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46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</row>
    <row r="906" spans="1:40">
      <c r="A906" s="13"/>
      <c r="B906" s="10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46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</row>
    <row r="907" spans="1:40">
      <c r="A907" s="14"/>
      <c r="B907" s="11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46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</row>
    <row r="908" spans="1:40">
      <c r="A908" s="13"/>
      <c r="B908" s="10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46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</row>
    <row r="909" spans="1:40">
      <c r="A909" s="14"/>
      <c r="B909" s="1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30"/>
      <c r="T909" s="46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</row>
    <row r="910" spans="1:40">
      <c r="A910" s="13"/>
      <c r="B910" s="10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46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</row>
    <row r="911" spans="1:40">
      <c r="A911" s="14"/>
      <c r="B911" s="11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46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</row>
    <row r="912" spans="1:40">
      <c r="A912" s="13"/>
      <c r="B912" s="10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46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</row>
    <row r="913" spans="1:40">
      <c r="A913" s="14"/>
      <c r="B913" s="11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46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</row>
    <row r="914" spans="1:40">
      <c r="A914" s="13"/>
      <c r="B914" s="10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46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</row>
    <row r="915" spans="1:40">
      <c r="A915" s="14"/>
      <c r="B915" s="11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46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</row>
    <row r="916" spans="1:40">
      <c r="A916" s="13"/>
      <c r="B916" s="10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46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</row>
    <row r="917" spans="1:40">
      <c r="A917" s="14"/>
      <c r="B917" s="11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46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</row>
    <row r="918" spans="1:40">
      <c r="A918" s="13"/>
      <c r="B918" s="10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46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</row>
    <row r="919" spans="1:40">
      <c r="A919" s="14"/>
      <c r="B919" s="11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46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</row>
    <row r="920" spans="1:40">
      <c r="A920" s="13"/>
      <c r="B920" s="10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46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</row>
    <row r="921" spans="1:40">
      <c r="A921" s="14"/>
      <c r="B921" s="11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46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</row>
    <row r="922" spans="1:40">
      <c r="A922" s="13"/>
      <c r="B922" s="10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46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</row>
    <row r="923" spans="1:40">
      <c r="A923" s="14"/>
      <c r="B923" s="1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30"/>
      <c r="T923" s="46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</row>
    <row r="924" spans="1:40">
      <c r="A924" s="13"/>
      <c r="B924" s="10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46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</row>
    <row r="925" spans="1:40">
      <c r="A925" s="14"/>
      <c r="B925" s="11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46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</row>
    <row r="926" spans="1:40">
      <c r="A926" s="13"/>
      <c r="B926" s="10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46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</row>
    <row r="927" spans="1:40">
      <c r="A927" s="14"/>
      <c r="B927" s="11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46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</row>
    <row r="928" spans="1:40">
      <c r="A928" s="13"/>
      <c r="B928" s="10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46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</row>
    <row r="929" spans="1:40">
      <c r="A929" s="14"/>
      <c r="B929" s="1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46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</row>
    <row r="930" spans="1:40">
      <c r="A930" s="13"/>
      <c r="B930" s="10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46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</row>
    <row r="931" spans="1:40">
      <c r="A931" s="14"/>
      <c r="B931" s="1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46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</row>
    <row r="932" spans="1:40">
      <c r="A932" s="13"/>
      <c r="B932" s="10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46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</row>
    <row r="933" spans="1:40">
      <c r="A933" s="14"/>
      <c r="B933" s="11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46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</row>
    <row r="934" spans="1:40">
      <c r="A934" s="13"/>
      <c r="B934" s="10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46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</row>
    <row r="935" spans="1:40">
      <c r="A935" s="14"/>
      <c r="B935" s="11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46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</row>
    <row r="936" spans="1:40">
      <c r="A936" s="13"/>
      <c r="B936" s="10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46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</row>
    <row r="937" spans="1:40">
      <c r="A937" s="14"/>
      <c r="B937" s="1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46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</row>
    <row r="938" spans="1:40">
      <c r="A938" s="13"/>
      <c r="B938" s="10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46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</row>
    <row r="939" spans="1:40">
      <c r="A939" s="14"/>
      <c r="B939" s="1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46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</row>
    <row r="940" spans="1:40">
      <c r="A940" s="13"/>
      <c r="B940" s="10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46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</row>
    <row r="941" spans="1:40">
      <c r="A941" s="14"/>
      <c r="B941" s="1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46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</row>
    <row r="942" spans="1:40">
      <c r="A942" s="13"/>
      <c r="B942" s="10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46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</row>
    <row r="943" spans="1:40">
      <c r="A943" s="14"/>
      <c r="B943" s="1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46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</row>
    <row r="944" spans="1:40">
      <c r="A944" s="13"/>
      <c r="B944" s="10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46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</row>
    <row r="945" spans="1:40">
      <c r="A945" s="14"/>
      <c r="B945" s="1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46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</row>
    <row r="946" spans="1:40">
      <c r="A946" s="13"/>
      <c r="B946" s="10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46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</row>
    <row r="947" spans="1:40">
      <c r="A947" s="14"/>
      <c r="B947" s="11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46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</row>
    <row r="948" spans="1:40">
      <c r="A948" s="13"/>
      <c r="B948" s="10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46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</row>
    <row r="949" spans="1:40">
      <c r="A949" s="14"/>
      <c r="B949" s="1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46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</row>
    <row r="950" spans="1:40">
      <c r="A950" s="13"/>
      <c r="B950" s="10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46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</row>
    <row r="951" spans="1:40">
      <c r="A951" s="14"/>
      <c r="B951" s="11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46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</row>
    <row r="952" spans="1:40">
      <c r="A952" s="13"/>
      <c r="B952" s="10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46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</row>
    <row r="953" spans="1:40">
      <c r="A953" s="14"/>
      <c r="B953" s="1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46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</row>
    <row r="954" spans="1:40">
      <c r="A954" s="13"/>
      <c r="B954" s="10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46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</row>
    <row r="955" spans="1:40">
      <c r="A955" s="14"/>
      <c r="B955" s="11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46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</row>
    <row r="956" spans="1:40">
      <c r="A956" s="13"/>
      <c r="B956" s="10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46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</row>
    <row r="957" spans="1:40">
      <c r="A957" s="14"/>
      <c r="B957" s="1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46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</row>
    <row r="958" spans="1:40">
      <c r="A958" s="13"/>
      <c r="B958" s="10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46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</row>
    <row r="959" spans="1:40">
      <c r="A959" s="14"/>
      <c r="B959" s="1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30"/>
      <c r="T959" s="46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</row>
    <row r="960" spans="1:40">
      <c r="A960" s="13"/>
      <c r="B960" s="10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46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</row>
    <row r="961" spans="1:40">
      <c r="A961" s="14"/>
      <c r="B961" s="1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46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</row>
    <row r="962" spans="1:40">
      <c r="A962" s="13"/>
      <c r="B962" s="10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46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</row>
    <row r="963" spans="1:40">
      <c r="A963" s="14"/>
      <c r="B963" s="11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46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</row>
    <row r="964" spans="1:40">
      <c r="A964" s="13"/>
      <c r="B964" s="10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46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</row>
    <row r="965" spans="1:40">
      <c r="A965" s="14"/>
      <c r="B965" s="1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46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</row>
    <row r="966" spans="1:40">
      <c r="A966" s="13"/>
      <c r="B966" s="10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46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</row>
    <row r="967" spans="1:40">
      <c r="A967" s="14"/>
      <c r="B967" s="1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46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</row>
    <row r="968" spans="1:40">
      <c r="A968" s="13"/>
      <c r="B968" s="10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46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</row>
    <row r="969" spans="1:40">
      <c r="A969" s="14"/>
      <c r="B969" s="11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46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</row>
    <row r="970" spans="1:40">
      <c r="A970" s="13"/>
      <c r="B970" s="10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46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</row>
    <row r="971" spans="1:40">
      <c r="A971" s="14"/>
      <c r="B971" s="1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46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</row>
    <row r="972" spans="1:40">
      <c r="A972" s="13"/>
      <c r="B972" s="10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46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</row>
    <row r="973" spans="1:40">
      <c r="A973" s="14"/>
      <c r="B973" s="1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46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</row>
    <row r="974" spans="1:40">
      <c r="A974" s="13"/>
      <c r="B974" s="10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46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</row>
    <row r="975" spans="1:40">
      <c r="A975" s="14"/>
      <c r="B975" s="11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46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</row>
    <row r="976" spans="1:40">
      <c r="A976" s="13"/>
      <c r="B976" s="10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46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</row>
    <row r="977" spans="1:40">
      <c r="A977" s="14"/>
      <c r="B977" s="11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46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</row>
    <row r="978" spans="1:40">
      <c r="A978" s="13"/>
      <c r="B978" s="10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46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</row>
    <row r="979" spans="1:40">
      <c r="A979" s="14"/>
      <c r="B979" s="11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46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</row>
    <row r="980" spans="1:40">
      <c r="A980" s="13"/>
      <c r="B980" s="10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46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</row>
    <row r="981" spans="1:40">
      <c r="A981" s="14"/>
      <c r="B981" s="11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46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</row>
    <row r="982" spans="1:40">
      <c r="A982" s="13"/>
      <c r="B982" s="10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46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</row>
    <row r="983" spans="1:40">
      <c r="A983" s="14"/>
      <c r="B983" s="1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46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</row>
    <row r="984" spans="1:40">
      <c r="A984" s="5"/>
      <c r="B984" s="1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46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</row>
    <row r="985" spans="1:40">
      <c r="A985" s="5"/>
      <c r="B985" s="1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46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</row>
    <row r="986" spans="1:40">
      <c r="A986" s="5"/>
      <c r="B986" s="1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46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</row>
    <row r="987" spans="1:40">
      <c r="A987" s="5"/>
      <c r="B987" s="1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46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</row>
    <row r="988" spans="1:40">
      <c r="A988" s="5"/>
      <c r="B988" s="1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46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</row>
    <row r="989" spans="1:40">
      <c r="A989" s="5"/>
      <c r="B989" s="1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46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</row>
    <row r="990" spans="1:40">
      <c r="A990" s="5"/>
      <c r="B990" s="1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46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</row>
    <row r="991" spans="1:40">
      <c r="A991" s="5"/>
      <c r="B991" s="1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46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</row>
    <row r="992" spans="1:40">
      <c r="A992" s="5"/>
      <c r="B992" s="1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46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</row>
    <row r="993" spans="1:40">
      <c r="A993" s="5"/>
      <c r="B993" s="1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46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</row>
    <row r="994" spans="1:40">
      <c r="A994" s="5"/>
      <c r="B994" s="1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46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</row>
    <row r="995" spans="1:40">
      <c r="A995" s="5"/>
      <c r="B995" s="1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46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</row>
    <row r="996" spans="1:40">
      <c r="A996" s="5"/>
      <c r="B996" s="1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46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</row>
    <row r="997" spans="1:40">
      <c r="A997" s="5"/>
      <c r="B997" s="1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46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</row>
    <row r="998" spans="1:40">
      <c r="A998" s="5"/>
      <c r="B998" s="1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46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</row>
    <row r="999" spans="1:40">
      <c r="A999" s="5"/>
      <c r="B999" s="1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46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</row>
    <row r="1000" spans="1:40">
      <c r="A1000" s="5"/>
      <c r="B1000" s="1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46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</row>
    <row r="1001" spans="1:40">
      <c r="A1001" s="5"/>
      <c r="B1001" s="1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46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</row>
    <row r="1002" spans="1:40">
      <c r="A1002" s="5"/>
      <c r="B1002" s="1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46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</row>
    <row r="1003" spans="1:40">
      <c r="A1003" s="5"/>
      <c r="B1003" s="1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46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</row>
    <row r="1004" spans="1:40">
      <c r="A1004" s="5"/>
      <c r="B1004" s="1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46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</row>
    <row r="1005" spans="1:40">
      <c r="A1005" s="5"/>
      <c r="B1005" s="1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46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</row>
    <row r="1006" spans="1:40">
      <c r="A1006" s="5"/>
      <c r="B1006" s="1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46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</row>
    <row r="1007" spans="1:40">
      <c r="A1007" s="5"/>
      <c r="B1007" s="1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46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</row>
    <row r="1008" spans="1:40">
      <c r="A1008" s="5"/>
      <c r="B1008" s="1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46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</row>
    <row r="1009" spans="1:40">
      <c r="A1009" s="5"/>
      <c r="B1009" s="1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46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</row>
    <row r="1010" spans="1:40">
      <c r="A1010" s="5"/>
      <c r="B1010" s="1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46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</row>
    <row r="1011" spans="1:40">
      <c r="A1011" s="5"/>
      <c r="B1011" s="1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46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</row>
    <row r="1012" spans="1:40">
      <c r="A1012" s="5"/>
      <c r="B1012" s="1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46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</row>
    <row r="1013" spans="1:40">
      <c r="A1013" s="5"/>
      <c r="B1013" s="1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46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</row>
    <row r="1014" spans="1:40">
      <c r="A1014" s="5"/>
      <c r="B1014" s="1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46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</row>
    <row r="1015" spans="1:40">
      <c r="A1015" s="5"/>
      <c r="B1015" s="1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46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</row>
    <row r="1016" spans="1:40">
      <c r="A1016" s="5"/>
      <c r="B1016" s="1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46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</row>
    <row r="1017" spans="1:40">
      <c r="A1017" s="5"/>
      <c r="B1017" s="1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46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</row>
    <row r="1018" spans="1:40">
      <c r="A1018" s="5"/>
      <c r="B1018" s="1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46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</row>
    <row r="1019" spans="1:40">
      <c r="A1019" s="5"/>
      <c r="B1019" s="1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46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</row>
    <row r="1020" spans="1:40">
      <c r="A1020" s="5"/>
      <c r="B1020" s="1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46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</row>
    <row r="1021" spans="1:40">
      <c r="A1021" s="5"/>
      <c r="B1021" s="1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46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</row>
    <row r="1022" spans="1:40">
      <c r="A1022" s="5"/>
      <c r="B1022" s="1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46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</row>
    <row r="1023" spans="1:40">
      <c r="A1023" s="5"/>
      <c r="B1023" s="1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46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</row>
    <row r="1024" spans="1:40">
      <c r="A1024" s="5"/>
      <c r="B1024" s="1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46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</row>
    <row r="1025" spans="1:40">
      <c r="A1025" s="5"/>
      <c r="B1025" s="1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46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</row>
    <row r="1026" spans="1:40">
      <c r="A1026" s="5"/>
      <c r="B1026" s="1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46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</row>
    <row r="1027" spans="1:40">
      <c r="A1027" s="5"/>
      <c r="B1027" s="1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46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</row>
    <row r="1028" spans="1:40">
      <c r="A1028" s="5"/>
      <c r="B1028" s="1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46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</row>
    <row r="1029" spans="1:40">
      <c r="A1029" s="5"/>
      <c r="B1029" s="1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46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</row>
    <row r="1030" spans="1:40">
      <c r="A1030" s="5"/>
      <c r="B1030" s="1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46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</row>
    <row r="1031" spans="1:40">
      <c r="A1031" s="5"/>
      <c r="B1031" s="1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46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</row>
    <row r="1032" spans="1:40">
      <c r="A1032" s="5"/>
      <c r="B1032" s="1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46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</row>
    <row r="1033" spans="1:40">
      <c r="A1033" s="5"/>
      <c r="B1033" s="1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46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</row>
    <row r="1034" spans="1:40">
      <c r="A1034" s="5"/>
      <c r="B1034" s="1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46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</row>
    <row r="1035" spans="1:40">
      <c r="A1035" s="5"/>
      <c r="B1035" s="1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46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</row>
    <row r="1036" spans="1:40">
      <c r="A1036" s="5"/>
      <c r="B1036" s="1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46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</row>
    <row r="1037" spans="1:40">
      <c r="A1037" s="5"/>
      <c r="B1037" s="1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46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</row>
    <row r="1038" spans="1:40">
      <c r="A1038" s="5"/>
      <c r="B1038" s="1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46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</row>
    <row r="1039" spans="1:40">
      <c r="A1039" s="5"/>
      <c r="B1039" s="1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46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</row>
    <row r="1040" spans="1:40">
      <c r="A1040" s="5"/>
      <c r="B1040" s="1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46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</row>
    <row r="1041" spans="1:40">
      <c r="A1041" s="5"/>
      <c r="B1041" s="1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46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</row>
    <row r="1042" spans="1:40">
      <c r="A1042" s="5"/>
      <c r="B1042" s="1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46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</row>
    <row r="1043" spans="1:40">
      <c r="A1043" s="5"/>
      <c r="B1043" s="1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46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</row>
    <row r="1044" spans="1:40">
      <c r="A1044" s="5"/>
      <c r="B1044" s="1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46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</row>
    <row r="1045" spans="1:40">
      <c r="A1045" s="5"/>
      <c r="B1045" s="1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46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</row>
    <row r="1046" spans="1:40">
      <c r="A1046" s="5"/>
      <c r="B1046" s="1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46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</row>
    <row r="1047" spans="1:40">
      <c r="A1047" s="5"/>
      <c r="B1047" s="1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46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</row>
    <row r="1048" spans="1:40">
      <c r="A1048" s="5"/>
      <c r="B1048" s="1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46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</row>
    <row r="1049" spans="1:40">
      <c r="A1049" s="5"/>
      <c r="B1049" s="1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46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</row>
    <row r="1050" spans="1:40">
      <c r="A1050" s="5"/>
      <c r="B1050" s="1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46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</row>
    <row r="1051" spans="1:40">
      <c r="A1051" s="5"/>
      <c r="B1051" s="1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46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</row>
    <row r="1052" spans="1:40">
      <c r="A1052" s="5"/>
      <c r="B1052" s="1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46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</row>
    <row r="1053" spans="1:40">
      <c r="A1053" s="5"/>
      <c r="B1053" s="1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46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</row>
    <row r="1054" spans="1:40">
      <c r="A1054" s="5"/>
      <c r="B1054" s="1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46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</row>
    <row r="1055" spans="1:40">
      <c r="A1055" s="5"/>
      <c r="B1055" s="1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46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</row>
    <row r="1056" spans="1:40">
      <c r="A1056" s="5"/>
      <c r="B1056" s="1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46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</row>
    <row r="1057" spans="1:40">
      <c r="A1057" s="5"/>
      <c r="B1057" s="1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46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</row>
    <row r="1058" spans="1:40">
      <c r="A1058" s="5"/>
      <c r="B1058" s="1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46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</row>
    <row r="1059" spans="1:40">
      <c r="A1059" s="5"/>
      <c r="B1059" s="1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46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</row>
    <row r="1060" spans="1:40">
      <c r="A1060" s="5"/>
      <c r="B1060" s="1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46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</row>
    <row r="1061" spans="1:40">
      <c r="A1061" s="5"/>
      <c r="B1061" s="1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46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</row>
    <row r="1062" spans="1:40">
      <c r="A1062" s="5"/>
      <c r="B1062" s="1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46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</row>
    <row r="1063" spans="1:40">
      <c r="A1063" s="5"/>
      <c r="B1063" s="1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46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</row>
    <row r="1064" spans="1:40">
      <c r="A1064" s="5"/>
      <c r="B1064" s="1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46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</row>
    <row r="1065" spans="1:40">
      <c r="A1065" s="5"/>
      <c r="B1065" s="1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46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</row>
    <row r="1066" spans="1:40">
      <c r="A1066" s="5"/>
      <c r="B1066" s="1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46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</row>
    <row r="1067" spans="1:40">
      <c r="A1067" s="5"/>
      <c r="B1067" s="1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46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</row>
    <row r="1068" spans="1:40">
      <c r="A1068" s="5"/>
      <c r="B1068" s="1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46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</row>
    <row r="1069" spans="1:40">
      <c r="A1069" s="5"/>
      <c r="B1069" s="1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46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</row>
    <row r="1070" spans="1:40">
      <c r="A1070" s="5"/>
      <c r="B1070" s="1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46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</row>
    <row r="1071" spans="1:40">
      <c r="A1071" s="5"/>
      <c r="B1071" s="1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46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</row>
    <row r="1072" spans="1:40">
      <c r="A1072" s="5"/>
      <c r="B1072" s="1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46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</row>
    <row r="1073" spans="1:40">
      <c r="A1073" s="5"/>
      <c r="B1073" s="1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46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</row>
    <row r="1074" spans="1:40">
      <c r="A1074" s="5"/>
      <c r="B1074" s="1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46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</row>
    <row r="1075" spans="1:40">
      <c r="A1075" s="5"/>
      <c r="B1075" s="1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46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</row>
    <row r="1076" spans="1:40">
      <c r="A1076" s="5"/>
      <c r="B1076" s="1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46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</row>
    <row r="1077" spans="1:40">
      <c r="A1077" s="5"/>
      <c r="B1077" s="1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46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</row>
    <row r="1078" spans="1:40">
      <c r="A1078" s="5"/>
      <c r="B1078" s="1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46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</row>
    <row r="1079" spans="1:40">
      <c r="A1079" s="5"/>
      <c r="B1079" s="1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46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</row>
    <row r="1080" spans="1:40">
      <c r="A1080" s="5"/>
      <c r="B1080" s="1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46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</row>
    <row r="1081" spans="1:40">
      <c r="A1081" s="5"/>
      <c r="B1081" s="1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46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</row>
    <row r="1082" spans="1:40">
      <c r="A1082" s="5"/>
      <c r="B1082" s="1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46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</row>
    <row r="1083" spans="1:40">
      <c r="A1083" s="5"/>
      <c r="B1083" s="1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46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</row>
    <row r="1084" spans="1:40">
      <c r="A1084" s="5"/>
      <c r="B1084" s="1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46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</row>
    <row r="1085" spans="1:40">
      <c r="A1085" s="5"/>
      <c r="B1085" s="1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46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</row>
    <row r="1086" spans="1:40">
      <c r="A1086" s="5"/>
      <c r="B1086" s="1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46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</row>
    <row r="1087" spans="1:40">
      <c r="A1087" s="5"/>
      <c r="B1087" s="1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46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</row>
    <row r="1088" spans="1:40">
      <c r="A1088" s="5"/>
      <c r="B1088" s="1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46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</row>
    <row r="1089" spans="1:40">
      <c r="A1089" s="5"/>
      <c r="B1089" s="1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46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</row>
    <row r="1090" spans="1:40">
      <c r="A1090" s="5"/>
      <c r="B1090" s="1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46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</row>
    <row r="1091" spans="1:40">
      <c r="A1091" s="5"/>
      <c r="B1091" s="1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46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</row>
    <row r="1092" spans="1:40">
      <c r="A1092" s="5"/>
      <c r="B1092" s="1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46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</row>
    <row r="1093" spans="1:40">
      <c r="A1093" s="5"/>
      <c r="B1093" s="1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46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</row>
    <row r="1094" spans="1:40">
      <c r="A1094" s="5"/>
      <c r="B1094" s="1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46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</row>
    <row r="1095" spans="1:40">
      <c r="A1095" s="5"/>
      <c r="B1095" s="1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46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</row>
    <row r="1096" spans="1:40">
      <c r="A1096" s="5"/>
      <c r="B1096" s="1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46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</row>
    <row r="1097" spans="1:40">
      <c r="A1097" s="5"/>
      <c r="B1097" s="1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46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</row>
    <row r="1098" spans="1:40">
      <c r="A1098" s="5"/>
      <c r="B1098" s="1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46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</row>
    <row r="1099" spans="1:40">
      <c r="A1099" s="5"/>
      <c r="B1099" s="1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46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</row>
    <row r="1100" spans="1:40">
      <c r="A1100" s="5"/>
      <c r="B1100" s="1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46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</row>
    <row r="1101" spans="1:40">
      <c r="A1101" s="5"/>
      <c r="B1101" s="1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46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</row>
    <row r="1102" spans="1:40">
      <c r="A1102" s="5"/>
      <c r="B1102" s="1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46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</row>
    <row r="1103" spans="1:40">
      <c r="A1103" s="5"/>
      <c r="B1103" s="1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46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</row>
    <row r="1104" spans="1:40">
      <c r="A1104" s="5"/>
      <c r="B1104" s="1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46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</row>
    <row r="1105" spans="1:40">
      <c r="A1105" s="5"/>
      <c r="B1105" s="1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46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</row>
    <row r="1106" spans="1:40">
      <c r="A1106" s="5"/>
      <c r="B1106" s="1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46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</row>
    <row r="1107" spans="1:40">
      <c r="A1107" s="5"/>
      <c r="B1107" s="1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46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</row>
    <row r="1108" spans="1:40">
      <c r="A1108" s="5"/>
      <c r="B1108" s="1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46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</row>
    <row r="1109" spans="1:40">
      <c r="A1109" s="5"/>
      <c r="B1109" s="1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46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</row>
    <row r="1110" spans="1:40">
      <c r="A1110" s="5"/>
      <c r="B1110" s="1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46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</row>
    <row r="1111" spans="1:40">
      <c r="A1111" s="5"/>
      <c r="B1111" s="1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46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</row>
    <row r="1112" spans="1:40">
      <c r="A1112" s="5"/>
      <c r="B1112" s="1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46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</row>
    <row r="1113" spans="1:40">
      <c r="A1113" s="5"/>
      <c r="B1113" s="1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46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</row>
    <row r="1114" spans="1:40">
      <c r="A1114" s="5"/>
      <c r="B1114" s="1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46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</row>
    <row r="1115" spans="1:40">
      <c r="A1115" s="5"/>
      <c r="B1115" s="1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46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</row>
    <row r="1116" spans="1:40">
      <c r="A1116" s="5"/>
      <c r="B1116" s="1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46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</row>
    <row r="1117" spans="1:40">
      <c r="A1117" s="5"/>
      <c r="B1117" s="1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46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</row>
    <row r="1118" spans="1:40">
      <c r="A1118" s="5"/>
      <c r="B1118" s="1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46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</row>
    <row r="1119" spans="1:40">
      <c r="A1119" s="5"/>
      <c r="B1119" s="1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46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</row>
    <row r="1120" spans="1:40">
      <c r="A1120" s="5"/>
      <c r="B1120" s="1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46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</row>
    <row r="1121" spans="1:40">
      <c r="A1121" s="5"/>
      <c r="B1121" s="1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46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</row>
    <row r="1122" spans="1:40">
      <c r="A1122" s="5"/>
      <c r="B1122" s="1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46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</row>
    <row r="1123" spans="1:40">
      <c r="A1123" s="5"/>
      <c r="B1123" s="1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46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</row>
    <row r="1124" spans="1:40">
      <c r="A1124" s="5"/>
      <c r="B1124" s="1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46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</row>
    <row r="1125" spans="1:40">
      <c r="A1125" s="5"/>
      <c r="B1125" s="1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46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</row>
    <row r="1126" spans="1:40">
      <c r="A1126" s="5"/>
      <c r="B1126" s="1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46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</row>
    <row r="1127" spans="1:40">
      <c r="A1127" s="5"/>
      <c r="B1127" s="1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46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</row>
    <row r="1128" spans="1:40">
      <c r="A1128" s="5"/>
      <c r="B1128" s="1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46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</row>
    <row r="1129" spans="1:40">
      <c r="A1129" s="5"/>
      <c r="B1129" s="1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46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</row>
    <row r="1130" spans="1:40">
      <c r="A1130" s="5"/>
      <c r="B1130" s="1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46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</row>
    <row r="1131" spans="1:40">
      <c r="A1131" s="5"/>
      <c r="B1131" s="1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46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</row>
    <row r="1132" spans="1:40">
      <c r="A1132" s="5"/>
      <c r="B1132" s="1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46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</row>
    <row r="1133" spans="1:40">
      <c r="A1133" s="5"/>
      <c r="B1133" s="1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46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</row>
    <row r="1134" spans="1:40">
      <c r="A1134" s="5"/>
      <c r="B1134" s="1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46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</row>
    <row r="1135" spans="1:40">
      <c r="A1135" s="5"/>
      <c r="B1135" s="1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46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</row>
    <row r="1136" spans="1:40">
      <c r="A1136" s="5"/>
      <c r="B1136" s="1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46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</row>
    <row r="1137" spans="1:40">
      <c r="A1137" s="5"/>
      <c r="B1137" s="1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46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</row>
    <row r="1138" spans="1:40">
      <c r="A1138" s="5"/>
      <c r="B1138" s="1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46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</row>
    <row r="1139" spans="1:40">
      <c r="A1139" s="5"/>
      <c r="B1139" s="1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46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</row>
    <row r="1140" spans="1:40">
      <c r="A1140" s="5"/>
      <c r="B1140" s="1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46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</row>
    <row r="1141" spans="1:40">
      <c r="A1141" s="5"/>
      <c r="B1141" s="1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46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</row>
    <row r="1142" spans="1:40">
      <c r="A1142" s="5"/>
      <c r="B1142" s="1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46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</row>
    <row r="1143" spans="1:40">
      <c r="A1143" s="5"/>
      <c r="B1143" s="1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46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</row>
    <row r="1144" spans="1:40">
      <c r="A1144" s="5"/>
      <c r="B1144" s="1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46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</row>
    <row r="1145" spans="1:40">
      <c r="A1145" s="5"/>
      <c r="B1145" s="1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46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</row>
    <row r="1146" spans="1:40">
      <c r="A1146" s="5"/>
      <c r="B1146" s="1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46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</row>
    <row r="1147" spans="1:40">
      <c r="A1147" s="5"/>
      <c r="B1147" s="1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46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</row>
    <row r="1148" spans="1:40">
      <c r="A1148" s="5"/>
      <c r="B1148" s="1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46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</row>
    <row r="1149" spans="1:40">
      <c r="A1149" s="5"/>
      <c r="B1149" s="1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46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</row>
    <row r="1150" spans="1:40">
      <c r="A1150" s="5"/>
      <c r="B1150" s="1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7"/>
      <c r="N1150" s="27"/>
      <c r="O1150" s="27"/>
      <c r="P1150" s="27"/>
      <c r="Q1150" s="27"/>
      <c r="R1150" s="27"/>
      <c r="S1150" s="27"/>
      <c r="T1150" s="46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</row>
    <row r="1151" spans="1:40">
      <c r="A1151" s="5"/>
      <c r="B1151" s="1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7"/>
      <c r="N1151" s="27"/>
      <c r="O1151" s="27"/>
      <c r="P1151" s="27"/>
      <c r="Q1151" s="27"/>
      <c r="R1151" s="27"/>
      <c r="S1151" s="27"/>
      <c r="T1151" s="46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</row>
    <row r="1152" spans="1:40">
      <c r="A1152" s="5"/>
      <c r="B1152" s="1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46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</row>
    <row r="1153" spans="1:40">
      <c r="A1153" s="5"/>
      <c r="B1153" s="1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46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</row>
    <row r="1154" spans="1:40">
      <c r="A1154" s="5"/>
      <c r="B1154" s="1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46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</row>
    <row r="1155" spans="1:40">
      <c r="A1155" s="5"/>
      <c r="B1155" s="1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46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</row>
    <row r="1156" spans="1:40">
      <c r="A1156" s="5"/>
      <c r="B1156" s="1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46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</row>
    <row r="1157" spans="1:40">
      <c r="A1157" s="5"/>
      <c r="B1157" s="1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46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</row>
    <row r="1158" spans="1:40">
      <c r="A1158" s="5"/>
      <c r="B1158" s="1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46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</row>
    <row r="1159" spans="1:40">
      <c r="A1159" s="5"/>
      <c r="B1159" s="1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46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</row>
    <row r="1160" spans="1:40">
      <c r="A1160" s="5"/>
      <c r="B1160" s="1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46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</row>
    <row r="1161" spans="1:40">
      <c r="A1161" s="5"/>
      <c r="B1161" s="1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46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</row>
    <row r="1162" spans="1:40">
      <c r="A1162" s="5"/>
      <c r="B1162" s="1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46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</row>
    <row r="1163" spans="1:40">
      <c r="A1163" s="5"/>
      <c r="B1163" s="1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46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</row>
    <row r="1164" spans="1:40">
      <c r="A1164" s="5"/>
      <c r="B1164" s="1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46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</row>
    <row r="1165" spans="1:40">
      <c r="A1165" s="5"/>
      <c r="B1165" s="1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46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</row>
    <row r="1166" spans="1:40">
      <c r="A1166" s="5"/>
      <c r="B1166" s="1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46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</row>
    <row r="1167" spans="1:40">
      <c r="A1167" s="5"/>
      <c r="B1167" s="1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46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</row>
    <row r="1168" spans="1:40">
      <c r="A1168" s="5"/>
      <c r="B1168" s="1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46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</row>
    <row r="1169" spans="1:40">
      <c r="A1169" s="5"/>
      <c r="B1169" s="1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46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</row>
    <row r="1170" spans="1:40">
      <c r="A1170" s="5"/>
      <c r="B1170" s="1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46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</row>
    <row r="1171" spans="1:40">
      <c r="A1171" s="5"/>
      <c r="B1171" s="1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46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</row>
    <row r="1172" spans="1:40">
      <c r="A1172" s="5"/>
      <c r="B1172" s="1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46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</row>
    <row r="1173" spans="1:40">
      <c r="A1173" s="5"/>
      <c r="B1173" s="1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46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</row>
    <row r="1174" spans="1:40">
      <c r="A1174" s="5"/>
      <c r="B1174" s="1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46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</row>
    <row r="1175" spans="1:40">
      <c r="A1175" s="5"/>
      <c r="B1175" s="1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46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</row>
    <row r="1176" spans="1:40">
      <c r="A1176" s="5"/>
      <c r="B1176" s="1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46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</row>
    <row r="1177" spans="1:40">
      <c r="A1177" s="5"/>
      <c r="B1177" s="1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46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</row>
    <row r="1178" spans="1:40">
      <c r="A1178" s="5"/>
      <c r="B1178" s="1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46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</row>
    <row r="1179" spans="1:40">
      <c r="A1179" s="5"/>
      <c r="B1179" s="1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46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</row>
    <row r="1180" spans="1:40">
      <c r="A1180" s="5"/>
      <c r="B1180" s="1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46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</row>
    <row r="1181" spans="1:40">
      <c r="A1181" s="5"/>
      <c r="B1181" s="1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46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</row>
    <row r="1182" spans="1:40">
      <c r="A1182" s="5"/>
      <c r="B1182" s="1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46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</row>
    <row r="1183" spans="1:40">
      <c r="A1183" s="5"/>
      <c r="B1183" s="1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46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</row>
    <row r="1184" spans="1:40">
      <c r="A1184" s="5"/>
      <c r="B1184" s="1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46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</row>
    <row r="1185" spans="1:40">
      <c r="A1185" s="5"/>
      <c r="B1185" s="1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46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</row>
    <row r="1186" spans="1:40">
      <c r="A1186" s="5"/>
      <c r="B1186" s="1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46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</row>
    <row r="1187" spans="1:40">
      <c r="A1187" s="5"/>
      <c r="B1187" s="1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46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</row>
    <row r="1188" spans="1:40">
      <c r="A1188" s="5"/>
      <c r="B1188" s="1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46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</row>
    <row r="1189" spans="1:40">
      <c r="A1189" s="5"/>
      <c r="B1189" s="1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46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</row>
    <row r="1190" spans="1:40">
      <c r="A1190" s="5"/>
      <c r="B1190" s="1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46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</row>
    <row r="1191" spans="1:40">
      <c r="A1191" s="5"/>
      <c r="B1191" s="1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46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</row>
    <row r="1192" spans="1:40">
      <c r="A1192" s="5"/>
      <c r="B1192" s="1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7"/>
      <c r="N1192" s="27"/>
      <c r="O1192" s="27"/>
      <c r="P1192" s="27"/>
      <c r="Q1192" s="27"/>
      <c r="R1192" s="27"/>
      <c r="S1192" s="27"/>
      <c r="T1192" s="46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</row>
    <row r="1193" spans="1:40">
      <c r="A1193" s="5"/>
      <c r="B1193" s="1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7"/>
      <c r="N1193" s="27"/>
      <c r="O1193" s="27"/>
      <c r="P1193" s="27"/>
      <c r="Q1193" s="27"/>
      <c r="R1193" s="27"/>
      <c r="S1193" s="27"/>
      <c r="T1193" s="46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</row>
    <row r="1194" spans="1:40">
      <c r="A1194" s="5"/>
      <c r="B1194" s="1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46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</row>
    <row r="1195" spans="1:40">
      <c r="A1195" s="5"/>
      <c r="B1195" s="1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46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</row>
    <row r="1196" spans="1:40">
      <c r="A1196" s="5"/>
      <c r="B1196" s="1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46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</row>
    <row r="1197" spans="1:40">
      <c r="A1197" s="5"/>
      <c r="B1197" s="1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46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</row>
    <row r="1198" spans="1:40">
      <c r="A1198" s="5"/>
      <c r="B1198" s="1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46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</row>
    <row r="1199" spans="1:40">
      <c r="A1199" s="5"/>
      <c r="B1199" s="1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46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</row>
    <row r="1200" spans="1:40">
      <c r="A1200" s="5"/>
      <c r="B1200" s="1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46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</row>
    <row r="1201" spans="1:40">
      <c r="A1201" s="5"/>
      <c r="B1201" s="1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46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</row>
    <row r="1202" spans="1:40">
      <c r="A1202" s="5"/>
      <c r="B1202" s="1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46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</row>
    <row r="1203" spans="1:40">
      <c r="A1203" s="5"/>
      <c r="B1203" s="1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46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</row>
    <row r="1204" spans="1:40">
      <c r="A1204" s="5"/>
      <c r="B1204" s="1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46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</row>
    <row r="1205" spans="1:40">
      <c r="A1205" s="5"/>
      <c r="B1205" s="1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46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</row>
    <row r="1206" spans="1:40">
      <c r="A1206" s="5"/>
      <c r="B1206" s="1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46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</row>
    <row r="1207" spans="1:40">
      <c r="A1207" s="5"/>
      <c r="B1207" s="1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46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</row>
    <row r="1208" spans="1:40">
      <c r="A1208" s="5"/>
      <c r="B1208" s="1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46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</row>
    <row r="1209" spans="1:40">
      <c r="A1209" s="5"/>
      <c r="B1209" s="1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46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</row>
    <row r="1210" spans="1:40">
      <c r="A1210" s="5"/>
      <c r="B1210" s="1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46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</row>
    <row r="1211" spans="1:40">
      <c r="A1211" s="5"/>
      <c r="B1211" s="1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46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</row>
    <row r="1212" spans="1:40">
      <c r="A1212" s="5"/>
      <c r="B1212" s="1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46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</row>
    <row r="1213" spans="1:40">
      <c r="A1213" s="5"/>
      <c r="B1213" s="1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46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</row>
    <row r="1214" spans="1:40">
      <c r="A1214" s="5"/>
      <c r="B1214" s="1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46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</row>
    <row r="1215" spans="1:40">
      <c r="A1215" s="5"/>
      <c r="B1215" s="1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46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</row>
    <row r="1216" spans="1:40">
      <c r="A1216" s="5"/>
      <c r="B1216" s="1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46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</row>
  </sheetData>
  <autoFilter ref="B8:T8" xr:uid="{235C3614-91B0-422A-BD61-197B4774543D}">
    <sortState xmlns:xlrd2="http://schemas.microsoft.com/office/spreadsheetml/2017/richdata2" ref="B9:T8">
      <sortCondition ref="D8:D888"/>
    </sortState>
  </autoFilter>
  <sortState xmlns:xlrd2="http://schemas.microsoft.com/office/spreadsheetml/2017/richdata2" ref="D8:D9">
    <sortCondition ref="D4"/>
  </sortState>
  <mergeCells count="4">
    <mergeCell ref="A1:A3"/>
    <mergeCell ref="P3:Q3"/>
    <mergeCell ref="B4:J4"/>
    <mergeCell ref="C1:I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liste_RA">
          <controlPr defaultSize="0" autoLine="0" autoPict="0" r:id="rId5">
            <anchor moveWithCells="1">
              <from>
                <xdr:col>7</xdr:col>
                <xdr:colOff>228600</xdr:colOff>
                <xdr:row>3</xdr:row>
                <xdr:rowOff>196850</xdr:rowOff>
              </from>
              <to>
                <xdr:col>9</xdr:col>
                <xdr:colOff>685800</xdr:colOff>
                <xdr:row>3</xdr:row>
                <xdr:rowOff>596900</xdr:rowOff>
              </to>
            </anchor>
          </controlPr>
        </control>
      </mc:Choice>
      <mc:Fallback>
        <control shapeId="2053" r:id="rId4" name="liste_RA"/>
      </mc:Fallback>
    </mc:AlternateContent>
    <mc:AlternateContent xmlns:mc="http://schemas.openxmlformats.org/markup-compatibility/2006">
      <mc:Choice Requires="x14">
        <control shapeId="2052" r:id="rId6" name="liste_types">
          <controlPr defaultSize="0" autoLine="0" r:id="rId7">
            <anchor moveWithCells="1">
              <from>
                <xdr:col>2</xdr:col>
                <xdr:colOff>742950</xdr:colOff>
                <xdr:row>3</xdr:row>
                <xdr:rowOff>203200</xdr:rowOff>
              </from>
              <to>
                <xdr:col>6</xdr:col>
                <xdr:colOff>368300</xdr:colOff>
                <xdr:row>3</xdr:row>
                <xdr:rowOff>584200</xdr:rowOff>
              </to>
            </anchor>
          </controlPr>
        </control>
      </mc:Choice>
      <mc:Fallback>
        <control shapeId="2052" r:id="rId6" name="liste_typ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1864-BC37-4FC9-BBEE-8858A9BB5456}">
  <sheetPr codeName="Feuil3"/>
  <dimension ref="B2:D8"/>
  <sheetViews>
    <sheetView workbookViewId="0">
      <selection activeCell="B5" sqref="B5:B477"/>
    </sheetView>
  </sheetViews>
  <sheetFormatPr baseColWidth="10" defaultRowHeight="14.5"/>
  <cols>
    <col min="2" max="2" width="54.54296875" customWidth="1"/>
    <col min="4" max="4" width="59.1796875" customWidth="1"/>
  </cols>
  <sheetData>
    <row r="2" spans="2:4" ht="15" thickBot="1"/>
    <row r="3" spans="2:4" ht="16.5" thickBot="1">
      <c r="B3" s="2" t="s">
        <v>23</v>
      </c>
      <c r="D3" s="2" t="s">
        <v>24</v>
      </c>
    </row>
    <row r="4" spans="2:4">
      <c r="B4" s="26" t="s">
        <v>125</v>
      </c>
      <c r="D4" s="3" t="s">
        <v>25</v>
      </c>
    </row>
    <row r="5" spans="2:4">
      <c r="B5" s="26" t="s">
        <v>39</v>
      </c>
    </row>
    <row r="6" spans="2:4">
      <c r="B6" t="s">
        <v>59</v>
      </c>
    </row>
    <row r="7" spans="2:4">
      <c r="B7" t="s">
        <v>66</v>
      </c>
    </row>
    <row r="8" spans="2:4">
      <c r="B8" t="s">
        <v>126</v>
      </c>
    </row>
  </sheetData>
  <sortState xmlns:xlrd2="http://schemas.microsoft.com/office/spreadsheetml/2017/richdata2" ref="D4:D5">
    <sortCondition ref="D5"/>
  </sortState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Façades</vt:lpstr>
      <vt:lpstr>Listes_cascade</vt:lpstr>
      <vt:lpstr>Construction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stage1</dc:creator>
  <cp:lastModifiedBy>Stagiaire Altia</cp:lastModifiedBy>
  <dcterms:created xsi:type="dcterms:W3CDTF">2021-10-15T06:40:27Z</dcterms:created>
  <dcterms:modified xsi:type="dcterms:W3CDTF">2021-12-20T08:23:27Z</dcterms:modified>
</cp:coreProperties>
</file>